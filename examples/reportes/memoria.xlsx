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yecto" state="visible" r:id="rId4"/>
    <sheet sheetId="2" name="Circuitos" state="visible" r:id="rId5"/>
    <sheet sheetId="3" name="Cuadro TG" state="visible" r:id="rId6"/>
    <sheet sheetId="4" name="Cuadro CCM-1" state="visible" r:id="rId7"/>
    <sheet sheetId="5" name="Cuadro TAB-B" state="visible" r:id="rId8"/>
    <sheet sheetId="6" name="Cuadro TAB-A" state="visible" r:id="rId9"/>
    <sheet sheetId="7" name="Memoria" state="visible" r:id="rId10"/>
    <sheet sheetId="8" name="Observaciones" state="visible" r:id="rId11"/>
  </sheets>
  <calcPr calcId="171027"/>
</workbook>
</file>

<file path=xl/sharedStrings.xml><?xml version="1.0" encoding="utf-8"?>
<sst xmlns="http://schemas.openxmlformats.org/spreadsheetml/2006/main" count="2823" uniqueCount="648">
  <si>
    <t>Memoria de cálculo</t>
  </si>
  <si>
    <t>Nombre</t>
  </si>
  <si>
    <t>Sistema de ejemplo fase 1</t>
  </si>
  <si>
    <t>Cliente</t>
  </si>
  <si>
    <t>Ejemplo</t>
  </si>
  <si>
    <t>Ubicación</t>
  </si>
  <si>
    <t>México</t>
  </si>
  <si>
    <t>Elaboró</t>
  </si>
  <si>
    <t>Ing. RGLR</t>
  </si>
  <si>
    <t>Descripción</t>
  </si>
  <si>
    <t>Sistema resuelto a mano para verificar el motor de cálculo (docs/ejemplos/sistema-ejemplo.md).</t>
  </si>
  <si>
    <t>Generado</t>
  </si>
  <si>
    <t>24 de octubre de 2026</t>
  </si>
  <si>
    <t>Norma</t>
  </si>
  <si>
    <t>NOM-001-SEDE-2012</t>
  </si>
  <si>
    <t>Método de cálculo</t>
  </si>
  <si>
    <t>Nominal (corrientes con la tensión nominal; caída con Ze de la Tabla 9). Es el método de la memoria; el barrido fasorial queda como referencia.</t>
  </si>
  <si>
    <t>Frecuencia (Hz)</t>
  </si>
  <si>
    <t>Temperatura ambiente (aire) (°C)</t>
  </si>
  <si>
    <t>Temperatura del terreno (°C)</t>
  </si>
  <si>
    <t>Caída máx. en circuito derivado (%)</t>
  </si>
  <si>
    <t>Caída máx. en alimentador (%)</t>
  </si>
  <si>
    <t>Caída máx. total (%)</t>
  </si>
  <si>
    <t>Desbalance máx. entre fases (%)</t>
  </si>
  <si>
    <t>Tablas normativas utilizadas</t>
  </si>
  <si>
    <t>Tabla</t>
  </si>
  <si>
    <t>Estado</t>
  </si>
  <si>
    <t>240-6(a) — Capacidades estandarizadas de fusibles e interruptores automáticos de disparo fijo</t>
  </si>
  <si>
    <t>240-6(a): verificada (Ing. RGLR, 2026-10-24).</t>
  </si>
  <si>
    <t>Capítulo 10, Tabla 4 — Dimensiones y porcentaje disponible para los conductores del área del tubo conduit (basado en la Tabla 1 de este Capítulo)</t>
  </si>
  <si>
    <t>Capítulo 10, Tabla 4: verificada (Ing. RGLR, 2026-10-25).</t>
  </si>
  <si>
    <t>Capítulo 10, Tabla 8 — Propiedades de los conductores</t>
  </si>
  <si>
    <t>Capítulo 10, Tabla 8: verificada (Ing. RGLR, 2026-10-24).</t>
  </si>
  <si>
    <t>Capítulo 10, Tabla 9 — Resistencia y reactancia en corriente alterna para los cables para 600 volts, 3 fases a 60 Hz y 75 °C. Tres conductores individuales en un tubo conduit</t>
  </si>
  <si>
    <t>Capítulo 10, Tabla 9: verificada (Ing. RGLR, 2026-10-24).</t>
  </si>
  <si>
    <t>Tabla 220-42 — Factores de demanda de cargas de alumbrado</t>
  </si>
  <si>
    <t>Tabla 220-42: verificada (Ing. RGLR, 2026-10-24).</t>
  </si>
  <si>
    <t>Tabla 220-44 — Factores de demanda para cargas de contactos en inmuebles que no son unidades de vivienda</t>
  </si>
  <si>
    <t>Tabla 220-44: verificada (Ing. RGLR, 2026-10-24).</t>
  </si>
  <si>
    <t>Tabla 250-122 — Tamaño mínimo de los conductores de puesta a tierra para canalizaciones y equipos</t>
  </si>
  <si>
    <t>Tabla 250-122: verificada (Ing. RGLR, 2026-10-24).</t>
  </si>
  <si>
    <t>Tabla 310-104(a) — Aplicaciones y aislamientos de conductores de 600 volts</t>
  </si>
  <si>
    <t>Tabla 310-104(a): verificada (Ing. RGLR, 2026-10-24).</t>
  </si>
  <si>
    <t>Tabla 310-15(b)(16) — Ampacidades permisibles en conductores aislados para tensiones hasta 2000 volts y 60 °C a 90 °C. No más de tres conductores portadores de corriente en una canalización, cable o directamente enterrados, basados en una temperatura ambiente de 30 °C</t>
  </si>
  <si>
    <t>Tabla 310-15(b)(16): verificada (Ing. RGLR, 2026-10-24).</t>
  </si>
  <si>
    <t>Tabla 310-15(b)(17) — Ampacidades permisibles de conductores individuales aislados para tensiones hasta e incluyendo 2000 volts al aire libre, basadas en una temperatura ambiente de 30 °C</t>
  </si>
  <si>
    <t>Tabla 310-15(b)(17): verificada (Ing. RGLR, 2026-10-24).</t>
  </si>
  <si>
    <t>Tabla 310-15(b)(2)(a) — Factores de corrección basados en una temperatura ambiente de 30 °C</t>
  </si>
  <si>
    <t>Tabla 310-15(b)(2)(a): verificada (Ing. RGLR, 2026-10-24).</t>
  </si>
  <si>
    <t>Tabla 310-15(b)(2)(b) — Factores de corrección basados en una temperatura ambiente de 40 °C</t>
  </si>
  <si>
    <t>Tabla 310-15(b)(2)(b): verificada (Ing. RGLR, 2026-10-24).</t>
  </si>
  <si>
    <t>Tabla 310-15(b)(3)(a) — Factores de ajuste para más de tres conductores portadores de corriente en una canalización o cable</t>
  </si>
  <si>
    <t>Tabla 310-15(b)(3)(a): verificada (Ing. RGLR, 2026-10-24).</t>
  </si>
  <si>
    <t>Tabla 392-22(a) — Área de ocupación permisible para cables multiconductores en charolas portacables de tipo escalera, fondo ventilado, tipo malla o fondo sólido para cables de 2000 volts o menos</t>
  </si>
  <si>
    <t>Tabla 392-22(a): verificada (Ing. RGLR, 2026-10-25).</t>
  </si>
  <si>
    <t>Tabla 430-22(e) — Servicio por régimen de tiempo</t>
  </si>
  <si>
    <t>Tabla 430-22(e): verificada (Ing. RGLR, 2026-10-24).</t>
  </si>
  <si>
    <t>Tabla 430-247 — Corriente a plena carga para motores de corriente continua</t>
  </si>
  <si>
    <t>Tabla 430-247: verificada (Ing. RGLR, 2026-10-24).</t>
  </si>
  <si>
    <t>Tabla 430-248 — Corriente a plena carga de motores monofásicos de corriente alterna</t>
  </si>
  <si>
    <t>Tabla 430-248: verificada (Ing. RGLR, 2026-10-24).</t>
  </si>
  <si>
    <t>Tabla 430-250 — Corriente a plena carga de motores trifásicos de corriente alterna</t>
  </si>
  <si>
    <t>Tabla 430-250: verificada (Ing. RGLR, 2026-10-24).</t>
  </si>
  <si>
    <t>Tabla 430-52 — Ajuste máximo de los dispositivos de protección contra cortocircuito y falla a tierra para circuitos derivados de motores</t>
  </si>
  <si>
    <t>Tabla 430-52: verificada (Ing. RGLR, 2026-10-24).</t>
  </si>
  <si>
    <t>Este documento apoya el diseño y no sustituye la revisión y firma de un ingeniero responsable.</t>
  </si>
  <si>
    <t>Circuito</t>
  </si>
  <si>
    <t>Protección</t>
  </si>
  <si>
    <t>Origen</t>
  </si>
  <si>
    <t>Destino</t>
  </si>
  <si>
    <t>Tipo</t>
  </si>
  <si>
    <t>I carga (A)</t>
  </si>
  <si>
    <t>I diseño (A)</t>
  </si>
  <si>
    <t>Regla</t>
  </si>
  <si>
    <t>Protección (A)</t>
  </si>
  <si>
    <t>Conductor</t>
  </si>
  <si>
    <t>Tierra</t>
  </si>
  <si>
    <t>Ampacidad (A)</t>
  </si>
  <si>
    <t>L (m)</t>
  </si>
  <si>
    <t>ΔV tramo (%)</t>
  </si>
  <si>
    <t>ΔV acum. (%)</t>
  </si>
  <si>
    <t>Rige</t>
  </si>
  <si>
    <t>AL-1</t>
  </si>
  <si>
    <t>INT-1</t>
  </si>
  <si>
    <t>TG</t>
  </si>
  <si>
    <t>CCM-1</t>
  </si>
  <si>
    <t>alimentador</t>
  </si>
  <si>
    <t>430-24 y 430-62(a)/430-63: alimentador de motores</t>
  </si>
  <si>
    <t>2/0 AWG Cu</t>
  </si>
  <si>
    <t>4 AWG</t>
  </si>
  <si>
    <t>calibre fijado</t>
  </si>
  <si>
    <t>AL-2</t>
  </si>
  <si>
    <t>INT-2</t>
  </si>
  <si>
    <t>TR-2</t>
  </si>
  <si>
    <t>450-3(b): protección del primario solamente</t>
  </si>
  <si>
    <t>2 AWG Cu</t>
  </si>
  <si>
    <t>6 AWG</t>
  </si>
  <si>
    <t>AL-4</t>
  </si>
  <si>
    <t>INT-4</t>
  </si>
  <si>
    <t>TAB-B</t>
  </si>
  <si>
    <t>215-2(a)(1) y 215-3</t>
  </si>
  <si>
    <t>4 AWG Cu</t>
  </si>
  <si>
    <t>8 AWG</t>
  </si>
  <si>
    <t>AL-11</t>
  </si>
  <si>
    <t>INT-11</t>
  </si>
  <si>
    <t>M-01</t>
  </si>
  <si>
    <t>derivado</t>
  </si>
  <si>
    <t>430-52: protección del circuito derivado de motor</t>
  </si>
  <si>
    <t>AL-12</t>
  </si>
  <si>
    <t>INT-12</t>
  </si>
  <si>
    <t>VFD-01</t>
  </si>
  <si>
    <t>430-122(a): 125 % de la corriente de entrada del variador</t>
  </si>
  <si>
    <t>8 AWG Cu</t>
  </si>
  <si>
    <t>10 AWG</t>
  </si>
  <si>
    <t>AL-13</t>
  </si>
  <si>
    <t>INT-13</t>
  </si>
  <si>
    <t>M-03</t>
  </si>
  <si>
    <t>12 AWG Cu</t>
  </si>
  <si>
    <t>12 AWG</t>
  </si>
  <si>
    <t>AL-3</t>
  </si>
  <si>
    <t>—</t>
  </si>
  <si>
    <t>TAB-A</t>
  </si>
  <si>
    <t>250 kcmil Cu</t>
  </si>
  <si>
    <t>AL-41</t>
  </si>
  <si>
    <t>INT-41</t>
  </si>
  <si>
    <t>L-02</t>
  </si>
  <si>
    <t>210-19(a)(1) y 210-20(a)</t>
  </si>
  <si>
    <t>AL-42</t>
  </si>
  <si>
    <t>INT-42</t>
  </si>
  <si>
    <t>CA-01</t>
  </si>
  <si>
    <t>6 AWG Cu</t>
  </si>
  <si>
    <t>AL-21</t>
  </si>
  <si>
    <t>INT-21</t>
  </si>
  <si>
    <t>L-01</t>
  </si>
  <si>
    <t>AL-22</t>
  </si>
  <si>
    <t>INT-22</t>
  </si>
  <si>
    <t>C-01</t>
  </si>
  <si>
    <t>AL-23</t>
  </si>
  <si>
    <t>INT-23</t>
  </si>
  <si>
    <t>CG-01</t>
  </si>
  <si>
    <t>TG — 480 V · 3F4H</t>
  </si>
  <si>
    <t>Alimenta a</t>
  </si>
  <si>
    <t>Fases</t>
  </si>
  <si>
    <t>A (VA)</t>
  </si>
  <si>
    <t>B (VA)</t>
  </si>
  <si>
    <t>C (VA)</t>
  </si>
  <si>
    <t>Total (VA)</t>
  </si>
  <si>
    <t>P (kW)</t>
  </si>
  <si>
    <t>Q (kvar)</t>
  </si>
  <si>
    <t>I (A)</t>
  </si>
  <si>
    <t>CCM-1, M-01, VFD-01, M-03</t>
  </si>
  <si>
    <t>ABC</t>
  </si>
  <si>
    <t>2/0 + 4 T</t>
  </si>
  <si>
    <t>2 + 6 T</t>
  </si>
  <si>
    <t>TAB-B, L-02, CA-01</t>
  </si>
  <si>
    <t>4 + 8 T</t>
  </si>
  <si>
    <t>Totales</t>
  </si>
  <si>
    <t>Corriente por fase (A)</t>
  </si>
  <si>
    <t>Desbalance (%)</t>
  </si>
  <si>
    <t>límite 5 %</t>
  </si>
  <si>
    <t>{"text":"Potencia demandada (con el factor de demanda capturado en cada carga).","_margin":null,"_inlines":[],"_minWidth":35.87158203125,"_maxWidth":225.96875,"listMarker":{"canvas":[{"x":41.166666666666664,"y":209.06119791666666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204.900390625,"verticalRatio":0.3001945554748062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204.900390625,"verticalRatio":0.3001945554748062,"horizontalRatio":0.010287509875351123},"pageNumbers":[4],"pages":38,"stack":false},"pageBreakCalculated":true}</t>
  </si>
  <si>
    <t>{"text":"Desbalance = (F_máx − F_mín) / F_máx · 100; límite del proyecto 5 % (criterio de práctica común, la NOM no fija un valor).","_margin":null,"_inlines":[],"_minWidth":35.31787109375,"_maxWidth":364.71435546875,"listMarker":{"canvas":[{"x":41.166666666666664,"y":218.49479166666666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214.333984375,"verticalRatio":0.31847671390503873,"horizontalRatio":0.010287509875351123}],"__height":9.43359375,"nodeInfo":{"text":"Desbalance = (F_máx − F_mín) / F_máx · 100; límite del proyecto 5 % (criterio de práctica común, la NOM no fija un valor).","startPosition":{"pageNumber":4,"pageOrientation":"landscape","pageInnerHeight":516,"pageInnerWidth":712,"left":47.32470703125,"top":214.333984375,"verticalRatio":0.31847671390503873,"horizontalRatio":0.010287509875351123},"pageNumbers":[4],"pages":38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</si>
  <si>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227.92838541666666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223.767578125,"verticalRatio":0.3367588723352713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223.767578125,"verticalRatio":0.3367588723352713,"horizontalRatio":0.010287509875351123},"pageNumbers":[4],"pages":38,"stack":false},"pageBreakCalculated":true}</t>
  </si>
  <si>
    <t>CCM-1 — 480 V · 3F4H</t>
  </si>
  <si>
    <t>4 + 6 T</t>
  </si>
  <si>
    <t>8 + 10 T</t>
  </si>
  <si>
    <t>12 + 12 T</t>
  </si>
  <si>
    <t>{"text":"Potencia demandada (con el factor de demanda capturado en cada carga).","_margin":null,"_inlines":[],"_minWidth":35.87158203125,"_maxWidth":225.96875,"listMarker":{"canvas":[{"x":41.166666666666664,"y":373.0904947916667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368.9296875,"verticalRatio":0.6180807897286822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368.9296875,"verticalRatio":0.6180807897286822,"horizontalRatio":0.010287509875351123},"pageNumbers":[4],"pages":38,"stack":false},"pageBreakCalculated":true}</t>
  </si>
  <si>
    <t>{"text":"Desbalance = (F_máx − F_mín) / F_máx · 100; límite del proyecto 5 % (criterio de práctica común, la NOM no fija un valor).","_margin":null,"_inlines":[],"_minWidth":35.31787109375,"_maxWidth":364.71435546875,"listMarker":{"canvas":[{"x":41.166666666666664,"y":382.5240885416667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378.36328125,"verticalRatio":0.6363629481589147,"horizontalRatio":0.010287509875351123}],"__height":9.43359375,"nodeInfo":{"text":"Desbalance = (F_máx − F_mín) / F_máx · 100; límite del proyecto 5 % (criterio de práctica común, la NOM no fija un valor).","startPosition":{"pageNumber":4,"pageOrientation":"landscape","pageInnerHeight":516,"pageInnerWidth":712,"left":47.32470703125,"top":378.36328125,"verticalRatio":0.6363629481589147,"horizontalRatio":0.010287509875351123},"pageNumbers":[4],"pages":38,"stack":false},"pageBreakCalculated":true}</t>
  </si>
  <si>
    <t>{"text":"Transformadores, variadores y UPS se reparten equilibrados en sus tres fases de entrada.","_margin":null,"_inlines":[],"_minWidth":53.4638671875,"_maxWidth":269.650390625,"listMarker":{"canvas":[{"x":41.166666666666664,"y":391.9576822916667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387.796875,"verticalRatio":0.6546451065891473,"horizontalRatio":0.010287509875351123}],"__height":9.43359375,"nodeInfo":{"text":"Transformadores, variadores y UPS se reparten equilibrados en sus tres fases de entrada.","startPosition":{"pageNumber":4,"pageOrientation":"landscape","pageInnerHeight":516,"pageInnerWidth":712,"left":47.32470703125,"top":387.796875,"verticalRatio":0.6546451065891473,"horizontalRatio":0.010287509875351123},"pageNumbers":[4],"pages":38,"stack":false},"pageBreakCalculated":true}</t>
  </si>
  <si>
    <t>TAB-B — 480 V · 3F4H</t>
  </si>
  <si>
    <t>A</t>
  </si>
  <si>
    <t>6 + 10 T</t>
  </si>
  <si>
    <t>{"text":"Potencia demandada (con el factor de demanda capturado en cada carga).","_margin":null,"_inlines":[],"_minWidth":35.87158203125,"_maxWidth":225.96875,"listMarker":{"canvas":[{"x":41.166666666666664,"y":522.5123697916666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518.3515625,"verticalRatio":0.9076580668604651,"horizontalRatio":0.010287509875351123}],"__height":9.43359375,"nodeInfo":{"text":"Potencia demandada (con el factor de demanda capturado en cada carga).","startPosition":{"pageNumber":4,"pageOrientation":"landscape","pageInnerHeight":516,"pageInnerWidth":712,"left":47.32470703125,"top":518.3515625,"verticalRatio":0.9076580668604651,"horizontalRatio":0.010287509875351123},"pageNumbers":[4],"pages":38,"stack":false},"pageBreakCalculated":true}</t>
  </si>
  <si>
    <t>{"text":"Desbalance = (F_máx − F_mín) / F_máx · 100; límite del proyecto 5 % (criterio de práctica común, la NOM no fija un valor).","_margin":null,"_inlines":[],"_minWidth":35.31787109375,"_maxWidth":364.71435546875,"listMarker":{"canvas":[{"x":41.166666666666664,"y":531.9459635416666,"r1":1.1666666666666667,"r2":1.1666666666666667,"type":"ellipse","color":"#666"}],"_maxWidth":7.32470703125,"_minWidth":7.32470703125,"_maxHeight":9.43359375,"_minHeight":9.43359375},"positions":[{"pageNumber":4,"pageOrientation":"landscape","pageInnerHeight":516,"pageInnerWidth":712,"left":47.32470703125,"top":527.78515625,"verticalRatio":0.9259402252906976,"horizontalRatio":0.010287509875351123}],"__height":9.43359375,"nodeInfo":{"text":"Desbalance = (F_máx − F_mín) / F_máx · 100; límite del proyecto 5 % (criterio de práctica común, la NOM no fija un valor).","startPosition":{"pageNumber":4,"pageOrientation":"landscape","pageInnerHeight":516,"pageInnerWidth":712,"left":47.32470703125,"top":527.78515625,"verticalRatio":0.9259402252906976,"horizontalRatio":0.010287509875351123},"pageNumbers":[4],"pages":38,"stack":false},"pageBreakCalculated":true}</t>
  </si>
  <si>
    <t>TAB-A — 220 V · 3F4H</t>
  </si>
  <si>
    <t>B</t>
  </si>
  <si>
    <t>{"text":"Potencia demandada (con el factor de demanda capturado en cada carga).","_margin":null,"_inlines":[],"_minWidth":35.87158203125,"_maxWidth":225.96875,"listMarker":{"canvas":[{"x":41.166666666666664,"y":171.88932291666666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167.728515625,"verticalRatio":0.22815603803294573,"horizontalRatio":0.010287509875351123}],"__height":9.43359375,"nodeInfo":{"text":"Potencia demandada (con el factor de demanda capturado en cada carga).","startPosition":{"pageNumber":5,"pageOrientation":"landscape","pageInnerHeight":516,"pageInnerWidth":712,"left":47.32470703125,"top":167.728515625,"verticalRatio":0.22815603803294573,"horizontalRatio":0.010287509875351123},"pageNumbers":[5],"pages":38,"stack":false},"pageBreakCalculated":true}</t>
  </si>
  <si>
    <t>{"text":"Desbalance = (F_máx − F_mín) / F_máx · 100; límite del proyecto 5 % (criterio de práctica común, la NOM no fija un valor).","_margin":null,"_inlines":[],"_minWidth":35.31787109375,"_maxWidth":364.71435546875,"listMarker":{"canvas":[{"x":41.166666666666664,"y":181.32291666666666,"r1":1.1666666666666667,"r2":1.1666666666666667,"type":"ellipse","color":"#666"}],"_maxWidth":7.32470703125,"_minWidth":7.32470703125,"_maxHeight":9.43359375,"_minHeight":9.43359375},"positions":[{"pageNumber":5,"pageOrientation":"landscape","pageInnerHeight":516,"pageInnerWidth":712,"left":47.32470703125,"top":177.162109375,"verticalRatio":0.2464381964631783,"horizontalRatio":0.010287509875351123}],"__height":9.43359375,"nodeInfo":{"text":"Desbalance = (F_máx − F_mín) / F_máx · 100; límite del proyecto 5 % (criterio de práctica común, la NOM no fija un valor).","startPosition":{"pageNumber":5,"pageOrientation":"landscape","pageInnerHeight":516,"pageInnerWidth":712,"left":47.32470703125,"top":177.162109375,"verticalRatio":0.2464381964631783,"horizontalRatio":0.010287509875351123},"pageNumbers":[5],"pages":38,"stack":false},"pageBreakCalculated":true}</t>
  </si>
  <si>
    <t>Elemento</t>
  </si>
  <si>
    <t>Paso</t>
  </si>
  <si>
    <t>Fórmula</t>
  </si>
  <si>
    <t>Sustitución</t>
  </si>
  <si>
    <t>Resultado</t>
  </si>
  <si>
    <t>Referencias</t>
  </si>
  <si>
    <t>ACOM-1</t>
  </si>
  <si>
    <t>Red de suministro (acometida)</t>
  </si>
  <si>
    <t>ACOM-1: fuente (Método nominal (cálculo a mano))</t>
  </si>
  <si>
    <t>Tensión de la fuente</t>
  </si>
  <si>
    <t>V = V_nom · pu</t>
  </si>
  <si>
    <t>V = 23 000 · 1</t>
  </si>
  <si>
    <t>23 000.0 V entre fases</t>
  </si>
  <si>
    <t/>
  </si>
  <si>
    <t>Impedancia de la red</t>
  </si>
  <si>
    <t>No capturada: la fuente se considera ideal (tensión constante en su punto de conexión).</t>
  </si>
  <si>
    <t>Potencia total suministrada</t>
  </si>
  <si>
    <t>P = 136.894 kW ;  Q = 70.006 kvar ;  S = 153.755 kVA</t>
  </si>
  <si>
    <t>Corriente suministrada</t>
  </si>
  <si>
    <t>I = S / (√3 · V)</t>
  </si>
  <si>
    <t>I = 153 755 / (√3 · 23 000)</t>
  </si>
  <si>
    <t>3.86 A</t>
  </si>
  <si>
    <t>TR-1</t>
  </si>
  <si>
    <t>Transformador</t>
  </si>
  <si>
    <t>TR-1: impedancia del transformador</t>
  </si>
  <si>
    <t>Separación de %Z</t>
  </si>
  <si>
    <t>%R = %Z / √(1 + (X/R)²) ;  %X = %R · X/R</t>
  </si>
  <si>
    <t>%R = 5.75 / √(1 + 6²)</t>
  </si>
  <si>
    <t>%R = 0.9453 % ;  %X = 5.6718 %</t>
  </si>
  <si>
    <t>Impedancia base del secundario</t>
  </si>
  <si>
    <t>Zb = V² / Sn</t>
  </si>
  <si>
    <t>Zb = 480.0² / 750 000</t>
  </si>
  <si>
    <t>0.30720 Ω</t>
  </si>
  <si>
    <t>Impedancia referida al secundario</t>
  </si>
  <si>
    <t>R = 0.00290 Ω ;  X = 0.01742 Ω</t>
  </si>
  <si>
    <t>TR-1: Método nominal (cálculo a mano)</t>
  </si>
  <si>
    <t>Potencia aguas abajo</t>
  </si>
  <si>
    <t>P = 136.894 kW ;  Q = 70.006 kvar ;  S = 153.755 kVA ;  FP = 0.8903</t>
  </si>
  <si>
    <t>Corriente</t>
  </si>
  <si>
    <t>I = 153 755.2 / (√3 · 480.0)</t>
  </si>
  <si>
    <t>184.94 A</t>
  </si>
  <si>
    <t>Corriente del primario</t>
  </si>
  <si>
    <t>Regulación del transformador</t>
  </si>
  <si>
    <t>%ΔV ≈ (S / Sn) · (%R · cosφ + %X · senφ)</t>
  </si>
  <si>
    <t>%ΔV = (153 755 / 750 000) · (0.9453 · 0.8903 + 5.6718 · 0.4553)</t>
  </si>
  <si>
    <t>0.702 %</t>
  </si>
  <si>
    <t>Tablero</t>
  </si>
  <si>
    <t>TG: tensión en barras</t>
  </si>
  <si>
    <t>Método nominal (cálculo a mano)</t>
  </si>
  <si>
    <t>476.6 V (99.30 % de 480 V)</t>
  </si>
  <si>
    <t>Interruptor / protección</t>
  </si>
  <si>
    <t>Selección de la protección</t>
  </si>
  <si>
    <t>Corriente de diseño del alimentador (430-24)</t>
  </si>
  <si>
    <t>I_d = 1.25 · I_mayor + Σ I_otros motores + I_no continua + 1.25 · I_continua</t>
  </si>
  <si>
    <t>I_d = 1.25 · 65.00 (M-01) + 45.36 + 0.00 + 1.25 · 0.00</t>
  </si>
  <si>
    <t>126.61 A</t>
  </si>
  <si>
    <t>NOM-001-SEDE-2012 430-24</t>
  </si>
  <si>
    <t>Protección máxima del alimentador (430-62(a), 430-63)</t>
  </si>
  <si>
    <t>I_prot ≤ mayor protección de derivado + Σ demás corrientes de motores + otras cargas</t>
  </si>
  <si>
    <t>175 A (AL-11) + 45.36 + 0.00 = 220.36 A</t>
  </si>
  <si>
    <t>200 A (valor estándar no mayor)</t>
  </si>
  <si>
    <t>NOM-001-SEDE-2012 430-62(a) · 430-63 · 240-6(a)</t>
  </si>
  <si>
    <t>INT-1: Método nominal (cálculo a mano)</t>
  </si>
  <si>
    <t>P = 80.598 kW ;  Q = 42.740 kvar ;  S = 91.229 kVA ;  FP = 0.8835</t>
  </si>
  <si>
    <t>I = 91 228.8 / (√3 · 480.0)</t>
  </si>
  <si>
    <t>109.73 A</t>
  </si>
  <si>
    <t>Caída de tensión</t>
  </si>
  <si>
    <t>Sin impedancia (0 %)</t>
  </si>
  <si>
    <t>Corriente nominal del primario</t>
  </si>
  <si>
    <t>I = Sn / (√3 · V)</t>
  </si>
  <si>
    <t>I = 75 000 / (√3 · 480)</t>
  </si>
  <si>
    <t>90.21 A</t>
  </si>
  <si>
    <t>Protección máxima del primario</t>
  </si>
  <si>
    <t>I_prot ≤ 125 % · I_pri (si no es estándar, el inmediato superior: Tabla 450-3(b) nota 1)</t>
  </si>
  <si>
    <t>1.25 · 90.21 = 112.76 A</t>
  </si>
  <si>
    <t>125 A</t>
  </si>
  <si>
    <t>NOM-001-SEDE-2012 Tabla 450-3(b) · 240-6(a)</t>
  </si>
  <si>
    <t>INT-2: Método nominal (cálculo a mano)</t>
  </si>
  <si>
    <t>P = 17.296 kW ;  Q = 8.377 kvar ;  S = 19.218 kVA ;  FP = 0.9000</t>
  </si>
  <si>
    <t>I = 19 217.8 / (√3 · 480.0)</t>
  </si>
  <si>
    <t>23.12 A</t>
  </si>
  <si>
    <t>L-02: corriente</t>
  </si>
  <si>
    <t>4.01 A — continua (alumbrado: continua por defecto)</t>
  </si>
  <si>
    <t>CA-01: corriente</t>
  </si>
  <si>
    <t>48.11 A — no continua (no continua por defecto)</t>
  </si>
  <si>
    <t>Corriente de diseño</t>
  </si>
  <si>
    <t>I_d = I_no continua + 1.25 · I_continua</t>
  </si>
  <si>
    <t>I_d = 48.11 + 1.25 · 4.01</t>
  </si>
  <si>
    <t>53.12 A</t>
  </si>
  <si>
    <t>NOM-001-SEDE-2012 215-2(a)(1)</t>
  </si>
  <si>
    <t>I_prot ≥ I_d (valor estándar inmediato)</t>
  </si>
  <si>
    <t>60 A</t>
  </si>
  <si>
    <t>NOM-001-SEDE-2012 215-3 · 240-6(a)</t>
  </si>
  <si>
    <t>INT-4: Método nominal (cálculo a mano)</t>
  </si>
  <si>
    <t>P = 39.000 kW ;  Q = 18.889 kvar ;  S = 43.333 kVA ;  FP = 0.9000</t>
  </si>
  <si>
    <t>I = 43 333.3 / (√3 · 480.0)</t>
  </si>
  <si>
    <t>52.12 A</t>
  </si>
  <si>
    <t>Alimentador (cable)</t>
  </si>
  <si>
    <t>Dimensionamiento</t>
  </si>
  <si>
    <t>Temperatura nominal del conductor</t>
  </si>
  <si>
    <t>THHW-LS: 75 °C lugares mojados; 90 °C lugares secos</t>
  </si>
  <si>
    <t>90 °C</t>
  </si>
  <si>
    <t>NOM-001-SEDE-2012 Tabla 310-104(a) · Se toma la mayor temperatura del aislamiento; en lugares mojados aplica la indicada para ellos.</t>
  </si>
  <si>
    <t>Temperatura de terminales</t>
  </si>
  <si>
    <t>circuito de 200 A &gt; 100 A (110-14(c)(1)(b))</t>
  </si>
  <si>
    <t>75 °C</t>
  </si>
  <si>
    <t>NOM-001-SEDE-2012 110-14(c)</t>
  </si>
  <si>
    <t>Factor de corrección por temperatura ambiente</t>
  </si>
  <si>
    <t>30 °C (temperatura ambiente del proyecto), columna de 90 °C</t>
  </si>
  <si>
    <t>1</t>
  </si>
  <si>
    <t>NOM-001-SEDE-2012 Tabla 310-15(b)(2)(a)</t>
  </si>
  <si>
    <t>Factor de ajuste por agrupamiento</t>
  </si>
  <si>
    <t>3 conductores portadores de corriente en la canalización</t>
  </si>
  <si>
    <t>NOM-001-SEDE-2012 Tabla 310-15(b)(3)(a)</t>
  </si>
  <si>
    <t>Verificación del calibre fijado</t>
  </si>
  <si>
    <t>2/0 AWG: 90 °C → 195 A · 1 · 1 = 195.00 A ; terminales 75 °C: 175.00 A ; ampacidad = 175.00 A</t>
  </si>
  <si>
    <t>Cumple ampacidad y protección</t>
  </si>
  <si>
    <t>Caída de tensión con el calibre elegido</t>
  </si>
  <si>
    <t>0.593 % ≤ 3 % (NOM-001-SEDE-2012 215-2(a)(1) Nota 2 (recomendación))</t>
  </si>
  <si>
    <t>Conductor de puesta a tierra de equipos</t>
  </si>
  <si>
    <t>200 A → 6 AWG Cu (13.3 mm²) ; aumento proporcional (250-122(b)): 13.30 · 67.43 / 42.41 = 21.15 mm² → 4</t>
  </si>
  <si>
    <t>NOM-001-SEDE-2012 Tabla 250-122</t>
  </si>
  <si>
    <t>AL-1: impedancia del conductor</t>
  </si>
  <si>
    <t>Resistencia y reactancia por conductor</t>
  </si>
  <si>
    <t>2/0 Cu, conduit de acero, 75 °C</t>
  </si>
  <si>
    <t>R = 0.33 Ω/km ;  XL = 0.177 Ω/km</t>
  </si>
  <si>
    <t>NOM-001-SEDE-2012 Capítulo 10, Tabla 9</t>
  </si>
  <si>
    <t>Impedancia del tramo</t>
  </si>
  <si>
    <t>Z = (R + jXL) · L / n</t>
  </si>
  <si>
    <t>Z = (0.33 + j0.177) · 0.0400 km / 1</t>
  </si>
  <si>
    <t>R = 0.01320 Ω ;  X = 0.00708 Ω</t>
  </si>
  <si>
    <t>AL-1: Método nominal (cálculo a mano)</t>
  </si>
  <si>
    <t>Caída de tensión (impedancia eficaz, Tabla 9 nota 2)</t>
  </si>
  <si>
    <t>ΔV = I · (R·cosφ + X·senφ) ;  %ΔV = ΔV / V_fn · 100</t>
  </si>
  <si>
    <t>ΔV = 109.73 · (0.01320 · 0.8835 + 0.00708 · 0.4685) = 1.644 V ;  %ΔV = 1.644 / 277.13 · 100</t>
  </si>
  <si>
    <t>0.593 %</t>
  </si>
  <si>
    <t>NOM-001-SEDE-2012 Capítulo 10, Tabla 9, nota 2</t>
  </si>
  <si>
    <t>Centro de control de motores (CCM)</t>
  </si>
  <si>
    <t>CCM-1: tensión en barras</t>
  </si>
  <si>
    <t>473.8 V (98.70 % de 480 V)</t>
  </si>
  <si>
    <t>circuito de 125 A &gt; 100 A (110-14(c)(1)(b))</t>
  </si>
  <si>
    <t>2 AWG: 90 °C → 130 A · 1 · 1 = 130.00 A ; terminales 75 °C: 115.00 A ; ampacidad = 115.00 A</t>
  </si>
  <si>
    <t>0.113 % ≤ 3 % (NOM-001-SEDE-2012 215-2(a)(1) Nota 2 (recomendación))</t>
  </si>
  <si>
    <t>125 A → 6 AWG Cu (13.3 mm²)</t>
  </si>
  <si>
    <t>AL-2: impedancia del conductor</t>
  </si>
  <si>
    <t>2 Cu, conduit de acero, 75 °C</t>
  </si>
  <si>
    <t>R = 0.66 Ω/km ;  XL = 0.187 Ω/km</t>
  </si>
  <si>
    <t>Z = (0.66 + j0.187) · 0.0200 km / 1</t>
  </si>
  <si>
    <t>R = 0.01320 Ω ;  X = 0.00374 Ω</t>
  </si>
  <si>
    <t>AL-2: Método nominal (cálculo a mano)</t>
  </si>
  <si>
    <t>ΔV = 23.12 · (0.01320 · 0.9000 + 0.00374 · 0.4359) = 0.312 V ;  %ΔV = 0.312 / 277.13 · 100</t>
  </si>
  <si>
    <t>0.113 %</t>
  </si>
  <si>
    <t>circuito de 60 A ≤ 100 A (110-14(c)(1)(a))</t>
  </si>
  <si>
    <t>60 °C</t>
  </si>
  <si>
    <t>4 AWG: 90 °C → 95 A · 1 · 1 = 95.00 A ; terminales 60 °C: 70.00 A ; ampacidad = 70.00 A</t>
  </si>
  <si>
    <t>0.928 % ≤ 3 % (NOM-001-SEDE-2012 215-2(a)(1) Nota 2 (recomendación))</t>
  </si>
  <si>
    <t>60 A → 10 AWG Cu (5.26 mm²) ; aumento proporcional (250-122(b)): 5.26 · 21.15 / 13.30 = 8.36 mm² → 8</t>
  </si>
  <si>
    <t>AL-4: impedancia del conductor</t>
  </si>
  <si>
    <t>4 Cu, conduit de PVC, 75 °C</t>
  </si>
  <si>
    <t>R = 1.02 Ω/km ;  XL = 0.157 Ω/km</t>
  </si>
  <si>
    <t>Z = (1.02 + j0.157) · 0.0500 km / 1</t>
  </si>
  <si>
    <t>R = 0.05100 Ω ;  X = 0.00785 Ω</t>
  </si>
  <si>
    <t>AL-4: Método nominal (cálculo a mano)</t>
  </si>
  <si>
    <t>ΔV = 52.12 · (0.05100 · 0.9000 + 0.00785 · 0.4359) = 2.571 V ;  %ΔV = 2.571 / 277.13 · 100</t>
  </si>
  <si>
    <t>0.928 %</t>
  </si>
  <si>
    <t>TAB-B: tensión en barras</t>
  </si>
  <si>
    <t>472.2 V (98.37 % de 480 V)</t>
  </si>
  <si>
    <t>Corriente de diseño del conductor</t>
  </si>
  <si>
    <t>I_d = 1.25 · I</t>
  </si>
  <si>
    <t>I_d = 1.25 · 65.00 (corriente de tabla)</t>
  </si>
  <si>
    <t>81.25 A</t>
  </si>
  <si>
    <t>NOM-001-SEDE-2012 430-22</t>
  </si>
  <si>
    <t>Protección contra cortocircuito y falla a tierra</t>
  </si>
  <si>
    <t>I_prot ≤ 250 % · I_pc ; si no es estándar, el inmediato superior (430-52(c)(1) Exc. 1)</t>
  </si>
  <si>
    <t>2.5 · 65.00 = 162.50 A (Interruptor automático de tiempo inverso², De jaula de ardilla: diferentes de los de diseño B energéticamente eficientes)</t>
  </si>
  <si>
    <t>175 A</t>
  </si>
  <si>
    <t>NOM-001-SEDE-2012 Tabla 430-52 · 240-6(a)</t>
  </si>
  <si>
    <t>INT-11: Método nominal (cálculo a mano)</t>
  </si>
  <si>
    <t>P = 45.934 kW ;  Q = 28.467 kvar ;  S = 54.040 kVA ;  FP = 0.8500</t>
  </si>
  <si>
    <t>I = 54 040.0 / (√3 · 480.0)</t>
  </si>
  <si>
    <t>65.00 A</t>
  </si>
  <si>
    <t>I_d = 1.25 · I_ent</t>
  </si>
  <si>
    <t>I_d = 1.25 · 31.36 (corriente de entrada calculada con la carga (no se capturó la de placa))</t>
  </si>
  <si>
    <t>39.20 A</t>
  </si>
  <si>
    <t>NOM-001-SEDE-2012 430-122(a)</t>
  </si>
  <si>
    <t>Protección propuesta</t>
  </si>
  <si>
    <t>40 A</t>
  </si>
  <si>
    <t>Valor estándar ≥ corriente de diseño (240-6(a)). Confirmar con las instrucciones del fabricante del variador (430-130).</t>
  </si>
  <si>
    <t>INT-12: Método nominal (cálculo a mano)</t>
  </si>
  <si>
    <t>P = 24.770 kW ;  Q = 8.142 kvar ;  S = 26.074 kVA ;  FP = 0.9500</t>
  </si>
  <si>
    <t>I = 26 073.8 / (√3 · 480.0)</t>
  </si>
  <si>
    <t>31.36 A</t>
  </si>
  <si>
    <t>I_d = 1.25 · 14.00 (corriente de tabla)</t>
  </si>
  <si>
    <t>17.50 A</t>
  </si>
  <si>
    <t>2.5 · 14.00 = 35.00 A (Interruptor automático de tiempo inverso², De jaula de ardilla: diferentes de los de diseño B energéticamente eficientes)</t>
  </si>
  <si>
    <t>35 A</t>
  </si>
  <si>
    <t>INT-13: Método nominal (cálculo a mano)</t>
  </si>
  <si>
    <t>P = 9.893 kW ;  Q = 6.131 kvar ;  S = 11.639 kVA ;  FP = 0.8500</t>
  </si>
  <si>
    <t>I = 11 639.4 / (√3 · 480.0)</t>
  </si>
  <si>
    <t>14.00 A</t>
  </si>
  <si>
    <t>TR-2: impedancia del transformador</t>
  </si>
  <si>
    <t>%R = 4 / √(1 + 2²)</t>
  </si>
  <si>
    <t>%R = 1.7889 % ;  %X = 3.5777 %</t>
  </si>
  <si>
    <t>Zb = 220.0² / 75 000</t>
  </si>
  <si>
    <t>0.64533 Ω</t>
  </si>
  <si>
    <t>R = 0.01154 Ω ;  X = 0.02309 Ω</t>
  </si>
  <si>
    <t>TR-2: Método nominal (cálculo a mano)</t>
  </si>
  <si>
    <t>I = 19 217.8 / (√3 · 220.0)</t>
  </si>
  <si>
    <t>50.43 A</t>
  </si>
  <si>
    <t>%ΔV = (19 218 / 75 000) · (1.7889 · 0.9000 + 3.5777 · 0.4359)</t>
  </si>
  <si>
    <t>0.812 %</t>
  </si>
  <si>
    <t>12.03 A — continua (alumbrado: continua por defecto)</t>
  </si>
  <si>
    <t>I_d = 0.00 + 1.25 · 12.03</t>
  </si>
  <si>
    <t>15.04 A</t>
  </si>
  <si>
    <t>NOM-001-SEDE-2012 210-19(a)(1)</t>
  </si>
  <si>
    <t>16 A</t>
  </si>
  <si>
    <t>NOM-001-SEDE-2012 210-20(a) · 240-6(a)</t>
  </si>
  <si>
    <t>INT-41: Método nominal (cálculo a mano)</t>
  </si>
  <si>
    <t>P = 3.000 kW ;  Q = 1.453 kvar ;  S = 3.333 kVA ;  FP = 0.9000</t>
  </si>
  <si>
    <t>I = S / V</t>
  </si>
  <si>
    <t>I = 3 333.3 / 277.1</t>
  </si>
  <si>
    <t>12.03 A</t>
  </si>
  <si>
    <t>I_d = 48.11 + 1.25 · 0.00</t>
  </si>
  <si>
    <t>48.11 A</t>
  </si>
  <si>
    <t>50 A</t>
  </si>
  <si>
    <t>INT-42: Método nominal (cálculo a mano)</t>
  </si>
  <si>
    <t>P = 36.000 kW ;  Q = 17.436 kvar ;  S = 40.000 kVA ;  FP = 0.9000</t>
  </si>
  <si>
    <t>I = 40 000.0 / (√3 · 480.0)</t>
  </si>
  <si>
    <t>motor con letra de diseño B: se permiten 75 °C (110-14(c)(1)(a)(4))</t>
  </si>
  <si>
    <t>4 AWG: 90 °C → 95 A · 1 · 1 = 95.00 A ; terminales 75 °C: 85.00 A ; ampacidad = 85.00 A</t>
  </si>
  <si>
    <t>0.569 % ≤ 3 % (NOM-001-SEDE-2012 210-19(a) Nota 4 (recomendación))</t>
  </si>
  <si>
    <t>175 A → 6 AWG Cu (13.3 mm²)</t>
  </si>
  <si>
    <t>NOM-001-SEDE-2012 Tabla 250-122 · 250-122(d)(1)</t>
  </si>
  <si>
    <t>AL-11: impedancia del conductor</t>
  </si>
  <si>
    <t>4 Cu, conduit de acero, 75 °C</t>
  </si>
  <si>
    <t>R = 1.02 Ω/km ;  XL = 0.197 Ω/km</t>
  </si>
  <si>
    <t>Z = (1.02 + j0.197) · 0.0250 km / 1</t>
  </si>
  <si>
    <t>R = 0.02550 Ω ;  X = 0.00493 Ω</t>
  </si>
  <si>
    <t>AL-11: Método nominal (cálculo a mano)</t>
  </si>
  <si>
    <t>ΔV = 65.00 · (0.02550 · 0.8500 + 0.00493 · 0.5268) = 1.578 V ;  %ΔV = 1.578 / 277.13 · 100</t>
  </si>
  <si>
    <t>0.569 %</t>
  </si>
  <si>
    <t>Motor</t>
  </si>
  <si>
    <t>M-01: potencia demandada</t>
  </si>
  <si>
    <t>Corriente a plena carga del motor (tabla)</t>
  </si>
  <si>
    <t>50 hp, trifásico, columna de 460 V</t>
  </si>
  <si>
    <t>65.0 A</t>
  </si>
  <si>
    <t>NOM-001-SEDE-2012 Tabla 430-250 · 430-6(a)(1)</t>
  </si>
  <si>
    <t>Potencia aparente a la tensión nominal del sistema</t>
  </si>
  <si>
    <t>S = √3 · V_sis · I</t>
  </si>
  <si>
    <t>S = √3 · 480 · 65.0</t>
  </si>
  <si>
    <t>54.040 kVA</t>
  </si>
  <si>
    <t>Potencias activa y reactiva</t>
  </si>
  <si>
    <t>P = S · FP ;  Q = S · sen(arccos FP)</t>
  </si>
  <si>
    <t>P = 54 040.0 · 0.85 ;  Q = 54 040.0 · 0.5268</t>
  </si>
  <si>
    <t>P = 45.934 kW ;  Q = 28.467 kvar</t>
  </si>
  <si>
    <t>M-01: Método nominal (cálculo a mano)</t>
  </si>
  <si>
    <t>Corriente de la carga</t>
  </si>
  <si>
    <t>Tensión en terminales</t>
  </si>
  <si>
    <t>471.1 V (98.14 % de 480.0 V entre fases)</t>
  </si>
  <si>
    <t>Caída acumulada en conductores desde el origen de la zona</t>
  </si>
  <si>
    <t>1.162 %</t>
  </si>
  <si>
    <t>circuito de 40 A ≤ 100 A (110-14(c)(1)(a))</t>
  </si>
  <si>
    <t>8 AWG: 90 °C → 55 A · 1 · 1 = 55.00 A ; terminales 60 °C: 40.00 A ; ampacidad = 40.00 A</t>
  </si>
  <si>
    <t>0.848 % ≤ 3 % (NOM-001-SEDE-2012 210-19(a) Nota 4 (recomendación))</t>
  </si>
  <si>
    <t>40 A → 10 AWG Cu (5.26 mm²)</t>
  </si>
  <si>
    <t>AL-12: impedancia del conductor</t>
  </si>
  <si>
    <t>8 Cu, conduit de acero, 75 °C</t>
  </si>
  <si>
    <t>R = 2.56 Ω/km ;  XL = 0.213 Ω/km</t>
  </si>
  <si>
    <t>Z = (2.56 + j0.213) · 0.0300 km / 1</t>
  </si>
  <si>
    <t>R = 0.07680 Ω ;  X = 0.00639 Ω</t>
  </si>
  <si>
    <t>AL-12: Método nominal (cálculo a mano)</t>
  </si>
  <si>
    <t>ΔV = 31.36 · (0.07680 · 0.9500 + 0.00639 · 0.3122) = 2.351 V ;  %ΔV = 2.351 / 277.13 · 100</t>
  </si>
  <si>
    <t>0.848 %</t>
  </si>
  <si>
    <t>12 AWG: 90 °C → 30 A · 1 · 1 = 30.00 A ; terminales 75 °C: 25.00 A ; ampacidad = 25.00 A</t>
  </si>
  <si>
    <t>0.868 % ≤ 3 % (NOM-001-SEDE-2012 210-19(a) Nota 4 (recomendación))</t>
  </si>
  <si>
    <t>35 A → 10 AWG Cu (5.26 mm²) ; aumento proporcional (250-122(b)): 5.26 · 3.31 / 2.08 = 8.37 mm² → 6 ; no se exige mayor que la fase (250-122(a)) → 12</t>
  </si>
  <si>
    <t>AL-13: impedancia del conductor</t>
  </si>
  <si>
    <t>12 Cu, conduit de acero, 75 °C</t>
  </si>
  <si>
    <t>R = 6.6 Ω/km ;  XL = 0.223 Ω/km</t>
  </si>
  <si>
    <t>Z = (6.6 + j0.223) · 0.0300 km / 1</t>
  </si>
  <si>
    <t>R = 0.19800 Ω ;  X = 0.00669 Ω</t>
  </si>
  <si>
    <t>AL-13: Método nominal (cálculo a mano)</t>
  </si>
  <si>
    <t>ΔV = 14.00 · (0.19800 · 0.8500 + 0.00669 · 0.5268) = 2.406 V ;  %ΔV = 2.406 / 277.13 · 100</t>
  </si>
  <si>
    <t>0.868 %</t>
  </si>
  <si>
    <t>M-03: potencia demandada</t>
  </si>
  <si>
    <t>10 hp, trifásico, columna de 460 V</t>
  </si>
  <si>
    <t>14.0 A</t>
  </si>
  <si>
    <t>S = √3 · 480 · 14.0</t>
  </si>
  <si>
    <t>11.639 kVA</t>
  </si>
  <si>
    <t>P = 11 639.4 · 0.85 ;  Q = 11 639.4 · 0.5268</t>
  </si>
  <si>
    <t>P = 9.893 kW ;  Q = 6.131 kvar</t>
  </si>
  <si>
    <t>M-03: Método nominal (cálculo a mano)</t>
  </si>
  <si>
    <t>469.6 V (97.84 % de 480.0 V entre fases)</t>
  </si>
  <si>
    <t>1.461 %</t>
  </si>
  <si>
    <t>L-01: corriente</t>
  </si>
  <si>
    <t>2.92 A — continua (alumbrado: continua por defecto)</t>
  </si>
  <si>
    <t>C-01: corriente</t>
  </si>
  <si>
    <t>3.78 A — no continua (no continua por defecto)</t>
  </si>
  <si>
    <t>CG-01: corriente</t>
  </si>
  <si>
    <t>43.74 A — no continua (no continua por defecto)</t>
  </si>
  <si>
    <t>I_d = 47.52 + 1.25 · 2.92</t>
  </si>
  <si>
    <t>51.16 A</t>
  </si>
  <si>
    <t>circuito de 51 A ≤ 100 A (110-14(c)(1)(a))</t>
  </si>
  <si>
    <t>250 kcmil: 90 °C → 290 A · 1 · 1 = 290.00 A ; terminales 60 °C: 215.00 A ; ampacidad = 215.00 A</t>
  </si>
  <si>
    <t>0.084 % ≤ 3 % (NOM-001-SEDE-2012 215-2(a)(1) Nota 2 (recomendación))</t>
  </si>
  <si>
    <t>AL-3: impedancia del conductor</t>
  </si>
  <si>
    <t>250 Cu, conduit de PVC, 75 °C</t>
  </si>
  <si>
    <t>R = 0.171 Ω/km ;  XL = 0.135 Ω/km</t>
  </si>
  <si>
    <t>Z = (0.171 + j0.135) · 0.0100 km / 1</t>
  </si>
  <si>
    <t>R = 0.00171 Ω ;  X = 0.00135 Ω</t>
  </si>
  <si>
    <t>AL-3: Método nominal (cálculo a mano)</t>
  </si>
  <si>
    <t>ΔV = 50.43 · (0.00171 · 0.9000 + 0.00135 · 0.4359) = 0.107 V ;  %ΔV = 0.107 / 127.02 · 100</t>
  </si>
  <si>
    <t>0.084 %</t>
  </si>
  <si>
    <t>TAB-A: tensión en barras</t>
  </si>
  <si>
    <t>216.2 V (98.29 % de 220 V)</t>
  </si>
  <si>
    <t>circuito de 16 A ≤ 100 A (110-14(c)(1)(a))</t>
  </si>
  <si>
    <t>2 conductores portadores de corriente en la canalización</t>
  </si>
  <si>
    <t>12 AWG: 90 °C → 30 A · 1 · 1 = 30.00 A ; terminales 60 °C: 20.00 A ; ampacidad = 20.00 A</t>
  </si>
  <si>
    <t>2.089 % ≤ 3 % (NOM-001-SEDE-2012 210-19(a) Nota 4 (recomendación))</t>
  </si>
  <si>
    <t>16 A → 12 AWG Cu (3.31 mm²)</t>
  </si>
  <si>
    <t>AL-41: impedancia del conductor</t>
  </si>
  <si>
    <t>12 Cu, conduit de PVC, 75 °C</t>
  </si>
  <si>
    <t>R = 6.6 Ω/km ;  XL = 0.177 Ω/km</t>
  </si>
  <si>
    <t>Z = (6.6 + j0.177) · 0.0400 km / 1</t>
  </si>
  <si>
    <t>R = 0.26400 Ω ;  X = 0.00708 Ω</t>
  </si>
  <si>
    <t>AL-41: Método nominal (cálculo a mano)</t>
  </si>
  <si>
    <t>ΔV = 2 · I · (R·cosφ + X·senφ) ;  %ΔV = ΔV / V · 100</t>
  </si>
  <si>
    <t>ΔV = 2 · 12.03 · (0.26400 · 0.9000 + 0.00708 · 0.4359) = 5.790 V ;  %ΔV = 5.790 / 277.13 · 100</t>
  </si>
  <si>
    <t>2.089 %</t>
  </si>
  <si>
    <t>Luminarias</t>
  </si>
  <si>
    <t>L-02: potencia demandada</t>
  </si>
  <si>
    <t>Potencia activa de alumbrado</t>
  </si>
  <si>
    <t>P = N · W</t>
  </si>
  <si>
    <t>P = 30 · 100</t>
  </si>
  <si>
    <t>3 000 W</t>
  </si>
  <si>
    <t>Potencia aparente</t>
  </si>
  <si>
    <t>S = P / FP</t>
  </si>
  <si>
    <t>S = 3 000 / 0.9</t>
  </si>
  <si>
    <t>3 333.3 VA</t>
  </si>
  <si>
    <t>P = 3 333.3 · 0.9 ;  Q = 3 333.3 · 0.4359</t>
  </si>
  <si>
    <t>P = 3.000 kW ;  Q = 1.453 kvar</t>
  </si>
  <si>
    <t>L-02: Método nominal (cálculo a mano)</t>
  </si>
  <si>
    <t>266.8 V (96.28 % de 277.1 V del circuito)</t>
  </si>
  <si>
    <t>3.017 %</t>
  </si>
  <si>
    <t>circuito de 50 A ≤ 100 A (110-14(c)(1)(a))</t>
  </si>
  <si>
    <t>6 AWG: 90 °C → 75 A · 1 · 1 = 75.00 A ; terminales 60 °C: 55.00 A ; ampacidad = 55.00 A</t>
  </si>
  <si>
    <t>0.528 % ≤ 3 % (NOM-001-SEDE-2012 210-19(a) Nota 4 (recomendación))</t>
  </si>
  <si>
    <t>50 A → 10 AWG Cu (5.26 mm²)</t>
  </si>
  <si>
    <t>AL-42: impedancia del conductor</t>
  </si>
  <si>
    <t>6 Cu, conduit de PVC, 75 °C</t>
  </si>
  <si>
    <t>R = 1.61 Ω/km ;  XL = 0.167 Ω/km</t>
  </si>
  <si>
    <t>Z = (1.61 + j0.167) · 0.0200 km / 1</t>
  </si>
  <si>
    <t>R = 0.03220 Ω ;  X = 0.00334 Ω</t>
  </si>
  <si>
    <t>AL-42: Método nominal (cálculo a mano)</t>
  </si>
  <si>
    <t>ΔV = 48.11 · (0.03220 · 0.9000 + 0.00334 · 0.4359) = 1.464 V ;  %ΔV = 1.464 / 277.13 · 100</t>
  </si>
  <si>
    <t>0.528 %</t>
  </si>
  <si>
    <t>Carga agrupada</t>
  </si>
  <si>
    <t>CA-01: potencia demandada</t>
  </si>
  <si>
    <t>40.000 kVA</t>
  </si>
  <si>
    <t>P = 40 000.0 · 0.9 ;  Q = 40 000.0 · 0.4359</t>
  </si>
  <si>
    <t>P = 36.000 kW ;  Q = 17.436 kvar</t>
  </si>
  <si>
    <t>CA-01: Método nominal (cálculo a mano)</t>
  </si>
  <si>
    <t>1.456 %</t>
  </si>
  <si>
    <t>Variador de frecuencia</t>
  </si>
  <si>
    <t>VFD-01: Método nominal (cálculo a mano)</t>
  </si>
  <si>
    <t>P = 24.027 kW ;  Q = 14.891 kvar ;  S = 28.267 kVA ;  FP = 0.8500</t>
  </si>
  <si>
    <t>Potencia de entrada</t>
  </si>
  <si>
    <t>P_ent = P_sal / η ;  Q_ent = P_ent · tan(arccos FP_ent)</t>
  </si>
  <si>
    <t>P_ent = 24 027.0 / 0.97</t>
  </si>
  <si>
    <t>I_ent = 31.36 A</t>
  </si>
  <si>
    <t>Salida regulada a su tensión nominal (supuesto)</t>
  </si>
  <si>
    <t>M-02</t>
  </si>
  <si>
    <t>M-02: potencia demandada</t>
  </si>
  <si>
    <t>25 hp, trifásico, columna de 460 V</t>
  </si>
  <si>
    <t>34.0 A</t>
  </si>
  <si>
    <t>S = √3 · 480 · 34.0</t>
  </si>
  <si>
    <t>28.267 kVA</t>
  </si>
  <si>
    <t>P = 28 267.1 · 0.85 ;  Q = 28 267.1 · 0.5268</t>
  </si>
  <si>
    <t>P = 24.027 kW ;  Q = 14.891 kvar</t>
  </si>
  <si>
    <t>M-02: Método nominal (cálculo a mano)</t>
  </si>
  <si>
    <t>I = 28 267.1 / (√3 · 480.0)</t>
  </si>
  <si>
    <t>34.00 A</t>
  </si>
  <si>
    <t>480.0 V (100.00 % de 480.0 V entre fases)</t>
  </si>
  <si>
    <t>0.000 %</t>
  </si>
  <si>
    <t>8.75 A — continua (alumbrado: continua por defecto)</t>
  </si>
  <si>
    <t>I_d = 0.00 + 1.25 · 8.75</t>
  </si>
  <si>
    <t>10.93 A</t>
  </si>
  <si>
    <t>15 A</t>
  </si>
  <si>
    <t>INT-21: Método nominal (cálculo a mano)</t>
  </si>
  <si>
    <t>P = 1.000 kW ;  Q = 0.484 kvar ;  S = 1.111 kVA ;  FP = 0.9000</t>
  </si>
  <si>
    <t>I = 1 111.1 / 127.0</t>
  </si>
  <si>
    <t>8.75 A</t>
  </si>
  <si>
    <t>11.34 A — no continua (no continua por defecto)</t>
  </si>
  <si>
    <t>I_d = 11.34 + 1.25 · 0.00</t>
  </si>
  <si>
    <t>11.34 A</t>
  </si>
  <si>
    <t>Nota</t>
  </si>
  <si>
    <t>Circuito con más de un contacto: no se permite el valor estándar inmediato superior a la ampacidad (240-4(b)(1)).</t>
  </si>
  <si>
    <t>INT-22: Método nominal (cálculo a mano)</t>
  </si>
  <si>
    <t>P = 1.296 kW ;  Q = 0.628 kvar ;  S = 1.440 kVA ;  FP = 0.9000</t>
  </si>
  <si>
    <t>I = 1 440.0 / 127.0</t>
  </si>
  <si>
    <t>I_d = 43.74 + 1.25 · 0.00</t>
  </si>
  <si>
    <t>43.74 A</t>
  </si>
  <si>
    <t>45 A</t>
  </si>
  <si>
    <t>INT-23: Método nominal (cálculo a mano)</t>
  </si>
  <si>
    <t>P = 15.000 kW ;  Q = 7.265 kvar ;  S = 16.667 kVA ;  FP = 0.9000</t>
  </si>
  <si>
    <t>I = 16 666.7 / (√3 · 220.0)</t>
  </si>
  <si>
    <t>circuito de 15 A ≤ 100 A (110-14(c)(1)(a))</t>
  </si>
  <si>
    <t>2.486 % ≤ 3 % (NOM-001-SEDE-2012 210-19(a) Nota 4 (recomendación))</t>
  </si>
  <si>
    <t>15 A → 14 AWG Cu (2.08 mm²) ; aumento proporcional (250-122(b)): 2.08 · 3.31 / 2.08 = 3.31 mm² → 12</t>
  </si>
  <si>
    <t>AL-21: impedancia del conductor</t>
  </si>
  <si>
    <t>Z = (6.6 + j0.177) · 0.0300 km / 1</t>
  </si>
  <si>
    <t>R = 0.19800 Ω ;  X = 0.00531 Ω</t>
  </si>
  <si>
    <t>AL-21: Método nominal (cálculo a mano)</t>
  </si>
  <si>
    <t>ΔV = 2 · 8.75 · (0.19800 · 0.9000 + 0.00531 · 0.4359) = 3.158 V ;  %ΔV = 3.158 / 127.02 · 100</t>
  </si>
  <si>
    <t>2.486 %</t>
  </si>
  <si>
    <t>L-01: potencia demandada</t>
  </si>
  <si>
    <t>P = 20 · 50</t>
  </si>
  <si>
    <t>1 000 W</t>
  </si>
  <si>
    <t>S = 1 000 / 0.9</t>
  </si>
  <si>
    <t>1 111.1 VA</t>
  </si>
  <si>
    <t>P = 1 111.1 · 0.9 ;  Q = 1 111.1 · 0.4359</t>
  </si>
  <si>
    <t>P = 1.000 kW ;  Q = 0.484 kvar</t>
  </si>
  <si>
    <t>L-01: Método nominal (cálculo a mano)</t>
  </si>
  <si>
    <t>121.7 V (95.80 % de 127.0 V del circuito)</t>
  </si>
  <si>
    <t>2.571 %</t>
  </si>
  <si>
    <t>2.685 % ≤ 3 % (NOM-001-SEDE-2012 210-19(a) Nota 4 (recomendación))</t>
  </si>
  <si>
    <t>AL-22: impedancia del conductor</t>
  </si>
  <si>
    <t>Z = (6.6 + j0.177) · 0.0250 km / 1</t>
  </si>
  <si>
    <t>R = 0.16500 Ω ;  X = 0.00443 Ω</t>
  </si>
  <si>
    <t>AL-22: Método nominal (cálculo a mano)</t>
  </si>
  <si>
    <t>ΔV = 2 · 11.34 · (0.16500 · 0.9000 + 0.00443 · 0.4359) = 3.411 V ;  %ΔV = 3.411 / 127.02 · 100</t>
  </si>
  <si>
    <t>2.685 %</t>
  </si>
  <si>
    <t>Contactos</t>
  </si>
  <si>
    <t>C-01: potencia demandada</t>
  </si>
  <si>
    <t>Carga de contactos</t>
  </si>
  <si>
    <t>S = N · VA por salida</t>
  </si>
  <si>
    <t>S = 8 · 180</t>
  </si>
  <si>
    <t>1 440 VA</t>
  </si>
  <si>
    <t>NOM-001-SEDE-2012 220-14(i)</t>
  </si>
  <si>
    <t>P = 1 440.0 · 0.9 ;  Q = 1 440.0 · 0.4359</t>
  </si>
  <si>
    <t>P = 1.296 kW ;  Q = 0.628 kvar</t>
  </si>
  <si>
    <t>C-01: Método nominal (cálculo a mano)</t>
  </si>
  <si>
    <t>121.4 V (95.60 % de 127.0 V del circuito)</t>
  </si>
  <si>
    <t>2.770 %</t>
  </si>
  <si>
    <t>circuito de 45 A ≤ 100 A (110-14(c)(1)(a))</t>
  </si>
  <si>
    <t>2.096 % ≤ 3 % (NOM-001-SEDE-2012 210-19(a) Nota 4 (recomendación))</t>
  </si>
  <si>
    <t>45 A → 10 AWG Cu (5.26 mm²)</t>
  </si>
  <si>
    <t>AL-23: impedancia del conductor</t>
  </si>
  <si>
    <t>Z = (1.61 + j0.167) · 0.0400 km / 1</t>
  </si>
  <si>
    <t>R = 0.06440 Ω ;  X = 0.00668 Ω</t>
  </si>
  <si>
    <t>AL-23: Método nominal (cálculo a mano)</t>
  </si>
  <si>
    <t>ΔV = 43.74 · (0.06440 · 0.9000 + 0.00668 · 0.4359) = 2.662 V ;  %ΔV = 2.662 / 127.02 · 100</t>
  </si>
  <si>
    <t>2.096 %</t>
  </si>
  <si>
    <t>Carga genérica</t>
  </si>
  <si>
    <t>CG-01: potencia demandada</t>
  </si>
  <si>
    <t>S = 15.000 kW / 0.9</t>
  </si>
  <si>
    <t>16.667 kVA</t>
  </si>
  <si>
    <t>P = 16 666.7 · 0.9 ;  Q = 16 666.7 · 0.4359</t>
  </si>
  <si>
    <t>P = 15.000 kW ;  Q = 7.265 kvar</t>
  </si>
  <si>
    <t>CG-01: Método nominal (cálculo a mano)</t>
  </si>
  <si>
    <t>211.6 V (96.19 % de 220.0 V entre fases)</t>
  </si>
  <si>
    <t>2.181 %</t>
  </si>
  <si>
    <t>VFD-01: confirme la protección con el fabricante del variador (430-130).</t>
  </si>
  <si>
    <t>Advertencia</t>
  </si>
  <si>
    <t>AL-3: conductores del secundario sin protección en su origen; verifique las condiciones de 240-21(c) (longitud y protección en su extremo de carga).</t>
  </si>
  <si>
    <t>AL-3: conductores del secundario de un sistema derivado separado; su puente de unión se dimensiona con 250-30(a) y la Tabla 250-66 (fase posterior), no con la Tabla 250-122.</t>
  </si>
  <si>
    <t>TG: desbalance entre fases de 6.21 %, mayor que el límite del proyecto (5 %). Redistribuye circuitos entre fases.</t>
  </si>
  <si>
    <t>TAB-B: desbalance entre fases de 20.00 %, mayor que el límite del proyecto (5 %). Redistribuye circuitos entre fases.</t>
  </si>
  <si>
    <t>TAB-A: desbalance entre fases de 20.58 %, mayor que el límite del proyecto (5 %). Redistribuye circuitos entre fases.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</si>
</sst>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6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sz val="12"/>
    </font>
    <font>
      <i/>
      <color rgb="FF666666"/>
    </font>
    <font>
      <b/>
      <color rgb="FFB26B00"/>
    </font>
  </fonts>
  <fills count="3">
    <fill>
      <patternFill patternType="none"/>
    </fill>
    <fill>
      <patternFill patternType="gray125"/>
    </fill>
    <fill>
      <patternFill patternType="solid">
        <fgColor rgb="FFE8EDF3"/>
      </patternFill>
    </fill>
  </fills>
  <borders count="2">
    <border>
      <left/>
      <right/>
      <top/>
      <bottom/>
      <diagonal/>
    </border>
    <border>
      <left style="thin">
        <color rgb="FF9AA3AD"/>
      </left>
      <right style="thin">
        <color rgb="FF9AA3AD"/>
      </right>
      <top style="thin">
        <color rgb="FF9AA3AD"/>
      </top>
      <bottom style="thin">
        <color rgb="FF9AA3AD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wrapText="1"/>
    </xf>
    <xf numFmtId="0" fontId="3" fillId="0" borderId="0" xfId="0" applyFont="1"/>
    <xf numFmtId="0" fontId="2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0" fillId="0" borderId="1" xfId="0" applyBorder="1" applyAlignment="1">
      <alignment vertical="top"/>
    </xf>
    <xf numFmtId="2" fontId="0" fillId="0" borderId="1" xfId="0" applyNumberFormat="1" applyBorder="1" applyAlignment="1">
      <alignment vertical="top"/>
    </xf>
    <xf numFmtId="1" fontId="0" fillId="0" borderId="1" xfId="0" applyNumberFormat="1" applyBorder="1" applyAlignment="1">
      <alignment vertical="top"/>
    </xf>
    <xf numFmtId="164" fontId="0" fillId="0" borderId="1" xfId="0" applyNumberFormat="1" applyBorder="1" applyAlignment="1">
      <alignment vertical="top"/>
    </xf>
    <xf numFmtId="165" fontId="0" fillId="0" borderId="1" xfId="0" applyNumberFormat="1" applyBorder="1" applyAlignment="1">
      <alignment vertical="top"/>
    </xf>
    <xf numFmtId="3" fontId="0" fillId="0" borderId="1" xfId="0" applyNumberFormat="1" applyBorder="1" applyAlignment="1">
      <alignment vertical="top"/>
    </xf>
    <xf numFmtId="3" fontId="2" fillId="0" borderId="1" xfId="0" applyNumberFormat="1" applyFont="1" applyBorder="1"/>
    <xf numFmtId="165" fontId="2" fillId="0" borderId="1" xfId="0" applyNumberFormat="1" applyFont="1" applyBorder="1"/>
    <xf numFmtId="2" fontId="2" fillId="0" borderId="1" xfId="0" applyNumberFormat="1" applyFont="1" applyBorder="1"/>
    <xf numFmtId="2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FormatPr defaultRowHeight="15" outlineLevelRow="0" outlineLevelCol="0" x14ac:dyDescent="55"/>
  <cols>
    <col min="1" max="1" width="34" customWidth="1"/>
    <col min="2" max="2" width="70" customWidth="1"/>
  </cols>
  <sheetData>
    <row r="1" spans="1:1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 t="s">
        <v>6</v>
      </c>
    </row>
    <row r="6" spans="1:2" x14ac:dyDescent="0.25">
      <c r="A6" s="2" t="s">
        <v>7</v>
      </c>
      <c r="B6" s="3" t="s">
        <v>8</v>
      </c>
    </row>
    <row r="7" spans="1:2" x14ac:dyDescent="0.25">
      <c r="A7" s="2" t="s">
        <v>9</v>
      </c>
      <c r="B7" s="3" t="s">
        <v>10</v>
      </c>
    </row>
    <row r="8" spans="1:2" x14ac:dyDescent="0.25">
      <c r="A8" s="2" t="s">
        <v>11</v>
      </c>
      <c r="B8" s="3" t="s">
        <v>12</v>
      </c>
    </row>
    <row r="9" spans="1:2" x14ac:dyDescent="0.25">
      <c r="A9" s="2" t="s">
        <v>13</v>
      </c>
      <c r="B9" s="3" t="s">
        <v>14</v>
      </c>
    </row>
    <row r="10" spans="1:2" x14ac:dyDescent="0.25">
      <c r="A10" s="2" t="s">
        <v>15</v>
      </c>
      <c r="B10" s="3" t="s">
        <v>16</v>
      </c>
    </row>
    <row r="11" spans="1:2" x14ac:dyDescent="0.25">
      <c r="A11" s="2" t="s">
        <v>17</v>
      </c>
      <c r="B11" s="3">
        <v>60</v>
      </c>
    </row>
    <row r="12" spans="1:2" x14ac:dyDescent="0.25">
      <c r="A12" s="2" t="s">
        <v>18</v>
      </c>
      <c r="B12" s="3">
        <v>30</v>
      </c>
    </row>
    <row r="13" spans="1:2" x14ac:dyDescent="0.25">
      <c r="A13" s="2" t="s">
        <v>19</v>
      </c>
      <c r="B13" s="3">
        <v>20</v>
      </c>
    </row>
    <row r="14" spans="1:2" x14ac:dyDescent="0.25">
      <c r="A14" s="2" t="s">
        <v>20</v>
      </c>
      <c r="B14" s="3">
        <v>3</v>
      </c>
    </row>
    <row r="15" spans="1:2" x14ac:dyDescent="0.25">
      <c r="A15" s="2" t="s">
        <v>21</v>
      </c>
      <c r="B15" s="3">
        <v>3</v>
      </c>
    </row>
    <row r="16" spans="1:2" x14ac:dyDescent="0.25">
      <c r="A16" s="2" t="s">
        <v>22</v>
      </c>
      <c r="B16" s="3">
        <v>5</v>
      </c>
    </row>
    <row r="17" spans="1:2" x14ac:dyDescent="0.25">
      <c r="A17" s="2" t="s">
        <v>23</v>
      </c>
      <c r="B17" s="3">
        <v>5</v>
      </c>
    </row>
    <row r="19" spans="1:1" x14ac:dyDescent="0.25">
      <c r="A19" s="4" t="s">
        <v>24</v>
      </c>
    </row>
    <row r="20" spans="1:2" x14ac:dyDescent="0.25">
      <c r="A20" s="5" t="s">
        <v>25</v>
      </c>
      <c r="B20" s="5" t="s">
        <v>26</v>
      </c>
    </row>
    <row r="21" spans="1:2" x14ac:dyDescent="0.25">
      <c r="A21" s="6" t="s">
        <v>27</v>
      </c>
      <c r="B21" s="6" t="s">
        <v>28</v>
      </c>
    </row>
    <row r="22" spans="1:2" x14ac:dyDescent="0.25">
      <c r="A22" s="6" t="s">
        <v>29</v>
      </c>
      <c r="B22" s="6" t="s">
        <v>30</v>
      </c>
    </row>
    <row r="23" spans="1:2" x14ac:dyDescent="0.25">
      <c r="A23" s="6" t="s">
        <v>31</v>
      </c>
      <c r="B23" s="6" t="s">
        <v>32</v>
      </c>
    </row>
    <row r="24" spans="1:2" x14ac:dyDescent="0.25">
      <c r="A24" s="6" t="s">
        <v>33</v>
      </c>
      <c r="B24" s="6" t="s">
        <v>34</v>
      </c>
    </row>
    <row r="25" spans="1:2" x14ac:dyDescent="0.25">
      <c r="A25" s="6" t="s">
        <v>35</v>
      </c>
      <c r="B25" s="6" t="s">
        <v>36</v>
      </c>
    </row>
    <row r="26" spans="1:2" x14ac:dyDescent="0.25">
      <c r="A26" s="6" t="s">
        <v>37</v>
      </c>
      <c r="B26" s="6" t="s">
        <v>38</v>
      </c>
    </row>
    <row r="27" spans="1:2" x14ac:dyDescent="0.25">
      <c r="A27" s="6" t="s">
        <v>39</v>
      </c>
      <c r="B27" s="6" t="s">
        <v>40</v>
      </c>
    </row>
    <row r="28" spans="1:2" x14ac:dyDescent="0.25">
      <c r="A28" s="6" t="s">
        <v>41</v>
      </c>
      <c r="B28" s="6" t="s">
        <v>42</v>
      </c>
    </row>
    <row r="29" spans="1:2" x14ac:dyDescent="0.25">
      <c r="A29" s="6" t="s">
        <v>43</v>
      </c>
      <c r="B29" s="6" t="s">
        <v>44</v>
      </c>
    </row>
    <row r="30" spans="1:2" x14ac:dyDescent="0.25">
      <c r="A30" s="6" t="s">
        <v>45</v>
      </c>
      <c r="B30" s="6" t="s">
        <v>46</v>
      </c>
    </row>
    <row r="31" spans="1:2" x14ac:dyDescent="0.25">
      <c r="A31" s="6" t="s">
        <v>47</v>
      </c>
      <c r="B31" s="6" t="s">
        <v>48</v>
      </c>
    </row>
    <row r="32" spans="1:2" x14ac:dyDescent="0.25">
      <c r="A32" s="6" t="s">
        <v>49</v>
      </c>
      <c r="B32" s="6" t="s">
        <v>50</v>
      </c>
    </row>
    <row r="33" spans="1:2" x14ac:dyDescent="0.25">
      <c r="A33" s="6" t="s">
        <v>51</v>
      </c>
      <c r="B33" s="6" t="s">
        <v>52</v>
      </c>
    </row>
    <row r="34" spans="1:2" x14ac:dyDescent="0.25">
      <c r="A34" s="6" t="s">
        <v>53</v>
      </c>
      <c r="B34" s="6" t="s">
        <v>54</v>
      </c>
    </row>
    <row r="35" spans="1:2" x14ac:dyDescent="0.25">
      <c r="A35" s="6" t="s">
        <v>55</v>
      </c>
      <c r="B35" s="6" t="s">
        <v>56</v>
      </c>
    </row>
    <row r="36" spans="1:2" x14ac:dyDescent="0.25">
      <c r="A36" s="6" t="s">
        <v>57</v>
      </c>
      <c r="B36" s="6" t="s">
        <v>58</v>
      </c>
    </row>
    <row r="37" spans="1:2" x14ac:dyDescent="0.25">
      <c r="A37" s="6" t="s">
        <v>59</v>
      </c>
      <c r="B37" s="6" t="s">
        <v>60</v>
      </c>
    </row>
    <row r="38" spans="1:2" x14ac:dyDescent="0.25">
      <c r="A38" s="6" t="s">
        <v>61</v>
      </c>
      <c r="B38" s="6" t="s">
        <v>62</v>
      </c>
    </row>
    <row r="39" spans="1:2" x14ac:dyDescent="0.25">
      <c r="A39" s="6" t="s">
        <v>63</v>
      </c>
      <c r="B39" s="6" t="s">
        <v>64</v>
      </c>
    </row>
    <row r="41" spans="1:1" x14ac:dyDescent="0.25">
      <c r="A41" s="7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22" customWidth="1"/>
    <col min="5" max="5" width="12" customWidth="1"/>
    <col min="6" max="7" width="11" customWidth="1"/>
    <col min="8" max="8" width="30" customWidth="1"/>
    <col min="9" max="9" width="12" customWidth="1"/>
    <col min="10" max="10" width="18" customWidth="1"/>
    <col min="11" max="11" width="10" customWidth="1"/>
    <col min="12" max="12" width="12" customWidth="1"/>
    <col min="13" max="13" width="8" customWidth="1"/>
    <col min="14" max="15" width="11" customWidth="1"/>
    <col min="16" max="16" width="16" customWidth="1"/>
  </cols>
  <sheetData>
    <row r="1" spans="1:16" x14ac:dyDescent="0.25">
      <c r="A1" s="5" t="s">
        <v>66</v>
      </c>
      <c r="B1" s="5" t="s">
        <v>67</v>
      </c>
      <c r="C1" s="5" t="s">
        <v>68</v>
      </c>
      <c r="D1" s="5" t="s">
        <v>69</v>
      </c>
      <c r="E1" s="5" t="s">
        <v>70</v>
      </c>
      <c r="F1" s="5" t="s">
        <v>71</v>
      </c>
      <c r="G1" s="5" t="s">
        <v>72</v>
      </c>
      <c r="H1" s="5" t="s">
        <v>73</v>
      </c>
      <c r="I1" s="5" t="s">
        <v>74</v>
      </c>
      <c r="J1" s="5" t="s">
        <v>75</v>
      </c>
      <c r="K1" s="5" t="s">
        <v>76</v>
      </c>
      <c r="L1" s="5" t="s">
        <v>77</v>
      </c>
      <c r="M1" s="5" t="s">
        <v>78</v>
      </c>
      <c r="N1" s="5" t="s">
        <v>79</v>
      </c>
      <c r="O1" s="5" t="s">
        <v>80</v>
      </c>
      <c r="P1" s="5" t="s">
        <v>81</v>
      </c>
    </row>
    <row r="2" spans="1:16" x14ac:dyDescent="0.25">
      <c r="A2" s="8" t="s">
        <v>82</v>
      </c>
      <c r="B2" s="8" t="s">
        <v>83</v>
      </c>
      <c r="C2" s="8" t="s">
        <v>84</v>
      </c>
      <c r="D2" s="8" t="s">
        <v>85</v>
      </c>
      <c r="E2" s="8" t="s">
        <v>86</v>
      </c>
      <c r="F2" s="9">
        <v>110.36190992946283</v>
      </c>
      <c r="G2" s="9">
        <v>126.61190992946283</v>
      </c>
      <c r="H2" s="6" t="s">
        <v>87</v>
      </c>
      <c r="I2" s="10">
        <v>200</v>
      </c>
      <c r="J2" s="8" t="s">
        <v>88</v>
      </c>
      <c r="K2" s="8" t="s">
        <v>89</v>
      </c>
      <c r="L2" s="11">
        <v>175</v>
      </c>
      <c r="M2" s="11">
        <v>40</v>
      </c>
      <c r="N2" s="12">
        <v>0.5930942993637941</v>
      </c>
      <c r="O2" s="12">
        <v>0.5930942993637941</v>
      </c>
      <c r="P2" s="8" t="s">
        <v>90</v>
      </c>
    </row>
    <row r="3" spans="1:16" x14ac:dyDescent="0.25">
      <c r="A3" s="8" t="s">
        <v>91</v>
      </c>
      <c r="B3" s="8" t="s">
        <v>92</v>
      </c>
      <c r="C3" s="8" t="s">
        <v>84</v>
      </c>
      <c r="D3" s="8" t="s">
        <v>93</v>
      </c>
      <c r="E3" s="8" t="s">
        <v>86</v>
      </c>
      <c r="F3" s="9">
        <v>90.21097956087904</v>
      </c>
      <c r="G3" s="9">
        <v>90.21097956087904</v>
      </c>
      <c r="H3" s="6" t="s">
        <v>94</v>
      </c>
      <c r="I3" s="10">
        <v>125</v>
      </c>
      <c r="J3" s="8" t="s">
        <v>95</v>
      </c>
      <c r="K3" s="8" t="s">
        <v>96</v>
      </c>
      <c r="L3" s="11">
        <v>115</v>
      </c>
      <c r="M3" s="11">
        <v>20</v>
      </c>
      <c r="N3" s="12">
        <v>0.11268948062870239</v>
      </c>
      <c r="O3" s="12">
        <v>0.11268948062870239</v>
      </c>
      <c r="P3" s="8" t="s">
        <v>90</v>
      </c>
    </row>
    <row r="4" spans="1:16" x14ac:dyDescent="0.25">
      <c r="A4" s="8" t="s">
        <v>97</v>
      </c>
      <c r="B4" s="8" t="s">
        <v>98</v>
      </c>
      <c r="C4" s="8" t="s">
        <v>84</v>
      </c>
      <c r="D4" s="8" t="s">
        <v>99</v>
      </c>
      <c r="E4" s="8" t="s">
        <v>86</v>
      </c>
      <c r="F4" s="9">
        <v>52.12189930184122</v>
      </c>
      <c r="G4" s="9">
        <v>53.12424351918432</v>
      </c>
      <c r="H4" s="8" t="s">
        <v>100</v>
      </c>
      <c r="I4" s="10">
        <v>60</v>
      </c>
      <c r="J4" s="8" t="s">
        <v>101</v>
      </c>
      <c r="K4" s="8" t="s">
        <v>102</v>
      </c>
      <c r="L4" s="11">
        <v>70</v>
      </c>
      <c r="M4" s="11">
        <v>50</v>
      </c>
      <c r="N4" s="12">
        <v>0.927636810935811</v>
      </c>
      <c r="O4" s="12">
        <v>0.927636810935811</v>
      </c>
      <c r="P4" s="8" t="s">
        <v>90</v>
      </c>
    </row>
    <row r="5" spans="1:16" x14ac:dyDescent="0.25">
      <c r="A5" s="8" t="s">
        <v>103</v>
      </c>
      <c r="B5" s="8" t="s">
        <v>104</v>
      </c>
      <c r="C5" s="8" t="s">
        <v>85</v>
      </c>
      <c r="D5" s="8" t="s">
        <v>105</v>
      </c>
      <c r="E5" s="8" t="s">
        <v>106</v>
      </c>
      <c r="F5" s="9">
        <v>65</v>
      </c>
      <c r="G5" s="9">
        <v>81.25</v>
      </c>
      <c r="H5" s="6" t="s">
        <v>107</v>
      </c>
      <c r="I5" s="10">
        <v>175</v>
      </c>
      <c r="J5" s="8" t="s">
        <v>101</v>
      </c>
      <c r="K5" s="8" t="s">
        <v>96</v>
      </c>
      <c r="L5" s="11">
        <v>85</v>
      </c>
      <c r="M5" s="11">
        <v>25</v>
      </c>
      <c r="N5" s="12">
        <v>0.5692353614094497</v>
      </c>
      <c r="O5" s="12">
        <v>1.1623296607732438</v>
      </c>
      <c r="P5" s="8" t="s">
        <v>90</v>
      </c>
    </row>
    <row r="6" spans="1:16" x14ac:dyDescent="0.25">
      <c r="A6" s="8" t="s">
        <v>108</v>
      </c>
      <c r="B6" s="8" t="s">
        <v>109</v>
      </c>
      <c r="C6" s="8" t="s">
        <v>85</v>
      </c>
      <c r="D6" s="8" t="s">
        <v>110</v>
      </c>
      <c r="E6" s="8" t="s">
        <v>106</v>
      </c>
      <c r="F6" s="9">
        <v>31.361909929462822</v>
      </c>
      <c r="G6" s="9">
        <v>39.202387411828525</v>
      </c>
      <c r="H6" s="6" t="s">
        <v>111</v>
      </c>
      <c r="I6" s="10">
        <v>40</v>
      </c>
      <c r="J6" s="8" t="s">
        <v>112</v>
      </c>
      <c r="K6" s="8" t="s">
        <v>113</v>
      </c>
      <c r="L6" s="11">
        <v>40</v>
      </c>
      <c r="M6" s="11">
        <v>30</v>
      </c>
      <c r="N6" s="12">
        <v>0.8482504639024215</v>
      </c>
      <c r="O6" s="12">
        <v>1.4413447632662155</v>
      </c>
      <c r="P6" s="8" t="s">
        <v>90</v>
      </c>
    </row>
    <row r="7" spans="1:16" x14ac:dyDescent="0.25">
      <c r="A7" s="8" t="s">
        <v>114</v>
      </c>
      <c r="B7" s="8" t="s">
        <v>115</v>
      </c>
      <c r="C7" s="8" t="s">
        <v>85</v>
      </c>
      <c r="D7" s="8" t="s">
        <v>116</v>
      </c>
      <c r="E7" s="8" t="s">
        <v>106</v>
      </c>
      <c r="F7" s="9">
        <v>14</v>
      </c>
      <c r="G7" s="9">
        <v>17.5</v>
      </c>
      <c r="H7" s="6" t="s">
        <v>107</v>
      </c>
      <c r="I7" s="10">
        <v>35</v>
      </c>
      <c r="J7" s="8" t="s">
        <v>117</v>
      </c>
      <c r="K7" s="8" t="s">
        <v>118</v>
      </c>
      <c r="L7" s="11">
        <v>25</v>
      </c>
      <c r="M7" s="11">
        <v>30</v>
      </c>
      <c r="N7" s="12">
        <v>0.8680239257462389</v>
      </c>
      <c r="O7" s="12">
        <v>1.461118225110033</v>
      </c>
      <c r="P7" s="8" t="s">
        <v>90</v>
      </c>
    </row>
    <row r="8" spans="1:16" x14ac:dyDescent="0.25">
      <c r="A8" s="8" t="s">
        <v>119</v>
      </c>
      <c r="B8" s="8" t="s">
        <v>120</v>
      </c>
      <c r="C8" s="8" t="s">
        <v>93</v>
      </c>
      <c r="D8" s="8" t="s">
        <v>121</v>
      </c>
      <c r="E8" s="8" t="s">
        <v>86</v>
      </c>
      <c r="F8" s="9">
        <v>50.43358715102913</v>
      </c>
      <c r="G8" s="9">
        <v>51.162564763642294</v>
      </c>
      <c r="H8" s="8" t="s">
        <v>100</v>
      </c>
      <c r="I8" s="8"/>
      <c r="J8" s="8" t="s">
        <v>122</v>
      </c>
      <c r="K8" s="8" t="s">
        <v>120</v>
      </c>
      <c r="L8" s="11">
        <v>215</v>
      </c>
      <c r="M8" s="11">
        <v>10</v>
      </c>
      <c r="N8" s="12">
        <v>0.08447290789074777</v>
      </c>
      <c r="O8" s="12">
        <v>0.08447290789074777</v>
      </c>
      <c r="P8" s="8" t="s">
        <v>90</v>
      </c>
    </row>
    <row r="9" spans="1:16" x14ac:dyDescent="0.25">
      <c r="A9" s="8" t="s">
        <v>123</v>
      </c>
      <c r="B9" s="8" t="s">
        <v>124</v>
      </c>
      <c r="C9" s="8" t="s">
        <v>99</v>
      </c>
      <c r="D9" s="8" t="s">
        <v>125</v>
      </c>
      <c r="E9" s="8" t="s">
        <v>106</v>
      </c>
      <c r="F9" s="9">
        <v>12.028130608117204</v>
      </c>
      <c r="G9" s="9">
        <v>15.035163260146504</v>
      </c>
      <c r="H9" s="8" t="s">
        <v>126</v>
      </c>
      <c r="I9" s="10">
        <v>16</v>
      </c>
      <c r="J9" s="8" t="s">
        <v>117</v>
      </c>
      <c r="K9" s="8" t="s">
        <v>118</v>
      </c>
      <c r="L9" s="11">
        <v>20</v>
      </c>
      <c r="M9" s="11">
        <v>40</v>
      </c>
      <c r="N9" s="12">
        <v>2.0892890664238433</v>
      </c>
      <c r="O9" s="12">
        <v>3.0169258773596543</v>
      </c>
      <c r="P9" s="8" t="s">
        <v>90</v>
      </c>
    </row>
    <row r="10" spans="1:16" x14ac:dyDescent="0.25">
      <c r="A10" s="8" t="s">
        <v>127</v>
      </c>
      <c r="B10" s="8" t="s">
        <v>128</v>
      </c>
      <c r="C10" s="8" t="s">
        <v>99</v>
      </c>
      <c r="D10" s="8" t="s">
        <v>129</v>
      </c>
      <c r="E10" s="8" t="s">
        <v>106</v>
      </c>
      <c r="F10" s="9">
        <v>48.112522432468815</v>
      </c>
      <c r="G10" s="9">
        <v>48.112522432468815</v>
      </c>
      <c r="H10" s="8" t="s">
        <v>126</v>
      </c>
      <c r="I10" s="10">
        <v>50</v>
      </c>
      <c r="J10" s="8" t="s">
        <v>130</v>
      </c>
      <c r="K10" s="8" t="s">
        <v>113</v>
      </c>
      <c r="L10" s="11">
        <v>55</v>
      </c>
      <c r="M10" s="11">
        <v>20</v>
      </c>
      <c r="N10" s="12">
        <v>0.5284005598462254</v>
      </c>
      <c r="O10" s="12">
        <v>1.4560373707820364</v>
      </c>
      <c r="P10" s="8" t="s">
        <v>90</v>
      </c>
    </row>
    <row r="11" spans="1:16" x14ac:dyDescent="0.25">
      <c r="A11" s="8" t="s">
        <v>131</v>
      </c>
      <c r="B11" s="8" t="s">
        <v>132</v>
      </c>
      <c r="C11" s="8" t="s">
        <v>121</v>
      </c>
      <c r="D11" s="8" t="s">
        <v>133</v>
      </c>
      <c r="E11" s="8" t="s">
        <v>106</v>
      </c>
      <c r="F11" s="9">
        <v>8.747731351357965</v>
      </c>
      <c r="G11" s="9">
        <v>10.934664189197456</v>
      </c>
      <c r="H11" s="8" t="s">
        <v>126</v>
      </c>
      <c r="I11" s="10">
        <v>15</v>
      </c>
      <c r="J11" s="8" t="s">
        <v>117</v>
      </c>
      <c r="K11" s="8" t="s">
        <v>118</v>
      </c>
      <c r="L11" s="11">
        <v>20</v>
      </c>
      <c r="M11" s="11">
        <v>30</v>
      </c>
      <c r="N11" s="12">
        <v>2.4864266575622596</v>
      </c>
      <c r="O11" s="12">
        <v>2.5708995654530074</v>
      </c>
      <c r="P11" s="8" t="s">
        <v>90</v>
      </c>
    </row>
    <row r="12" spans="1:16" x14ac:dyDescent="0.25">
      <c r="A12" s="8" t="s">
        <v>134</v>
      </c>
      <c r="B12" s="8" t="s">
        <v>135</v>
      </c>
      <c r="C12" s="8" t="s">
        <v>121</v>
      </c>
      <c r="D12" s="8" t="s">
        <v>136</v>
      </c>
      <c r="E12" s="8" t="s">
        <v>106</v>
      </c>
      <c r="F12" s="9">
        <v>11.337059831359923</v>
      </c>
      <c r="G12" s="9">
        <v>11.337059831359923</v>
      </c>
      <c r="H12" s="8" t="s">
        <v>126</v>
      </c>
      <c r="I12" s="10">
        <v>15</v>
      </c>
      <c r="J12" s="8" t="s">
        <v>117</v>
      </c>
      <c r="K12" s="8" t="s">
        <v>118</v>
      </c>
      <c r="L12" s="11">
        <v>20</v>
      </c>
      <c r="M12" s="11">
        <v>25</v>
      </c>
      <c r="N12" s="12">
        <v>2.6853407901672415</v>
      </c>
      <c r="O12" s="12">
        <v>2.7698136980579893</v>
      </c>
      <c r="P12" s="8" t="s">
        <v>90</v>
      </c>
    </row>
    <row r="13" spans="1:16" x14ac:dyDescent="0.25">
      <c r="A13" s="8" t="s">
        <v>137</v>
      </c>
      <c r="B13" s="8" t="s">
        <v>138</v>
      </c>
      <c r="C13" s="8" t="s">
        <v>121</v>
      </c>
      <c r="D13" s="8" t="s">
        <v>139</v>
      </c>
      <c r="E13" s="8" t="s">
        <v>106</v>
      </c>
      <c r="F13" s="9">
        <v>43.73865675678983</v>
      </c>
      <c r="G13" s="9">
        <v>43.73865675678983</v>
      </c>
      <c r="H13" s="8" t="s">
        <v>126</v>
      </c>
      <c r="I13" s="10">
        <v>45</v>
      </c>
      <c r="J13" s="8" t="s">
        <v>130</v>
      </c>
      <c r="K13" s="8" t="s">
        <v>113</v>
      </c>
      <c r="L13" s="11">
        <v>55</v>
      </c>
      <c r="M13" s="11">
        <v>40</v>
      </c>
      <c r="N13" s="12">
        <v>2.096134452282547</v>
      </c>
      <c r="O13" s="12">
        <v>2.180607360173295</v>
      </c>
      <c r="P13" s="8" t="s">
        <v>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140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83</v>
      </c>
      <c r="B4" s="8" t="s">
        <v>150</v>
      </c>
      <c r="C4" s="8" t="s">
        <v>151</v>
      </c>
      <c r="D4" s="13">
        <v>30584.389634907162</v>
      </c>
      <c r="E4" s="13">
        <v>30584.389634907162</v>
      </c>
      <c r="F4" s="13">
        <v>30584.389634907162</v>
      </c>
      <c r="G4" s="13">
        <v>91753.16890472149</v>
      </c>
      <c r="H4" s="12">
        <v>80.59757379718421</v>
      </c>
      <c r="I4" s="12">
        <v>42.740295425331894</v>
      </c>
      <c r="J4" s="9">
        <v>109.73124361891357</v>
      </c>
      <c r="K4" s="10">
        <v>200</v>
      </c>
      <c r="L4" s="8" t="s">
        <v>152</v>
      </c>
      <c r="M4" s="11">
        <v>40</v>
      </c>
      <c r="N4" s="12">
        <v>0.5930942993637941</v>
      </c>
    </row>
    <row r="5" spans="1:14" x14ac:dyDescent="0.25">
      <c r="A5" s="8" t="s">
        <v>92</v>
      </c>
      <c r="B5" s="8" t="s">
        <v>93</v>
      </c>
      <c r="C5" s="8" t="s">
        <v>151</v>
      </c>
      <c r="D5" s="13">
        <v>6405.925925925926</v>
      </c>
      <c r="E5" s="13">
        <v>6405.925925925926</v>
      </c>
      <c r="F5" s="13">
        <v>6405.925925925926</v>
      </c>
      <c r="G5" s="13">
        <v>19217.777777777777</v>
      </c>
      <c r="H5" s="12">
        <v>17.296</v>
      </c>
      <c r="I5" s="12">
        <v>8.376835125275498</v>
      </c>
      <c r="J5" s="9">
        <v>23.11539411088835</v>
      </c>
      <c r="K5" s="10">
        <v>125</v>
      </c>
      <c r="L5" s="8" t="s">
        <v>153</v>
      </c>
      <c r="M5" s="11">
        <v>20</v>
      </c>
      <c r="N5" s="12">
        <v>0.11268948062870239</v>
      </c>
    </row>
    <row r="6" spans="1:14" x14ac:dyDescent="0.25">
      <c r="A6" s="8" t="s">
        <v>98</v>
      </c>
      <c r="B6" s="8" t="s">
        <v>154</v>
      </c>
      <c r="C6" s="8" t="s">
        <v>151</v>
      </c>
      <c r="D6" s="13">
        <v>16666.666666666668</v>
      </c>
      <c r="E6" s="13">
        <v>13333.333333333334</v>
      </c>
      <c r="F6" s="13">
        <v>13333.333333333334</v>
      </c>
      <c r="G6" s="13">
        <v>43333.333333333336</v>
      </c>
      <c r="H6" s="12">
        <v>39</v>
      </c>
      <c r="I6" s="12">
        <v>18.88856208867625</v>
      </c>
      <c r="J6" s="9">
        <v>52.12189930184122</v>
      </c>
      <c r="K6" s="10">
        <v>60</v>
      </c>
      <c r="L6" s="8" t="s">
        <v>155</v>
      </c>
      <c r="M6" s="11">
        <v>50</v>
      </c>
      <c r="N6" s="12">
        <v>0.927636810935811</v>
      </c>
    </row>
    <row r="7" spans="1:9" s="2" customFormat="1" x14ac:dyDescent="0.25">
      <c r="A7" s="2" t="s">
        <v>156</v>
      </c>
      <c r="D7" s="14">
        <f>SUM(D4:D6)</f>
        <v>53656.98222749976</v>
      </c>
      <c r="E7" s="14">
        <f>SUM(E4:E6)</f>
        <v>50323.64889416642</v>
      </c>
      <c r="F7" s="14">
        <f>SUM(F4:F6)</f>
        <v>50323.64889416642</v>
      </c>
      <c r="G7" s="14">
        <f>SUM(G4:G6)</f>
        <v>154304.2800158326</v>
      </c>
      <c r="H7" s="15">
        <f>SUM(H4:H6)</f>
        <v>136.89357379718422</v>
      </c>
      <c r="I7" s="15">
        <f>SUM(I4:I6)</f>
        <v>70.00569263928364</v>
      </c>
    </row>
    <row r="8" spans="1:6" s="2" customFormat="1" x14ac:dyDescent="0.25">
      <c r="A8" s="2" t="s">
        <v>157</v>
      </c>
      <c r="D8" s="16">
        <f>D7/(480/SQRT(3))</f>
        <v>193.61795708093717</v>
      </c>
      <c r="E8" s="16">
        <f>E7/(480/SQRT(3))</f>
        <v>181.58982647281996</v>
      </c>
      <c r="F8" s="16">
        <f>F7/(480/SQRT(3))</f>
        <v>181.58982647281996</v>
      </c>
    </row>
    <row r="9" spans="1:5" s="2" customFormat="1" x14ac:dyDescent="0.25">
      <c r="A9" s="2" t="s">
        <v>158</v>
      </c>
      <c r="D9" s="17">
        <f>IF(MAX(D7:F7)=0,0,(MAX(D7:F7)-MIN(D7:F7))/MAX(D7:F7)*100)</f>
        <v>6.212301167442414</v>
      </c>
      <c r="E9" s="2" t="s">
        <v>159</v>
      </c>
    </row>
    <row r="11" spans="1:1" x14ac:dyDescent="0.25">
      <c r="A11" s="7" t="s">
        <v>160</v>
      </c>
    </row>
    <row r="12" spans="1:1" x14ac:dyDescent="0.25">
      <c r="A12" s="7" t="s">
        <v>161</v>
      </c>
    </row>
    <row r="13" spans="1:1" x14ac:dyDescent="0.25">
      <c r="A13" s="7" t="s">
        <v>162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163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104</v>
      </c>
      <c r="B4" s="8" t="s">
        <v>105</v>
      </c>
      <c r="C4" s="8" t="s">
        <v>151</v>
      </c>
      <c r="D4" s="13">
        <v>18013.32839871632</v>
      </c>
      <c r="E4" s="13">
        <v>18013.32839871632</v>
      </c>
      <c r="F4" s="13">
        <v>18013.32839871632</v>
      </c>
      <c r="G4" s="13">
        <v>54039.98519614896</v>
      </c>
      <c r="H4" s="12">
        <v>45.933987416726616</v>
      </c>
      <c r="I4" s="12">
        <v>28.467328641795667</v>
      </c>
      <c r="J4" s="9">
        <v>64.99999999999999</v>
      </c>
      <c r="K4" s="10">
        <v>175</v>
      </c>
      <c r="L4" s="8" t="s">
        <v>164</v>
      </c>
      <c r="M4" s="11">
        <v>25</v>
      </c>
      <c r="N4" s="12">
        <v>0.5692353614094497</v>
      </c>
    </row>
    <row r="5" spans="1:14" x14ac:dyDescent="0.25">
      <c r="A5" s="8" t="s">
        <v>109</v>
      </c>
      <c r="B5" s="8" t="s">
        <v>110</v>
      </c>
      <c r="C5" s="8" t="s">
        <v>151</v>
      </c>
      <c r="D5" s="13">
        <v>8691.267427236557</v>
      </c>
      <c r="E5" s="13">
        <v>8691.267427236557</v>
      </c>
      <c r="F5" s="13">
        <v>8691.267427236557</v>
      </c>
      <c r="G5" s="13">
        <v>26073.80228170967</v>
      </c>
      <c r="H5" s="12">
        <v>24.770112167624184</v>
      </c>
      <c r="I5" s="12">
        <v>8.141542152995628</v>
      </c>
      <c r="J5" s="9">
        <v>31.361909929462822</v>
      </c>
      <c r="K5" s="10">
        <v>40</v>
      </c>
      <c r="L5" s="8" t="s">
        <v>165</v>
      </c>
      <c r="M5" s="11">
        <v>30</v>
      </c>
      <c r="N5" s="12">
        <v>0.8482504639024215</v>
      </c>
    </row>
    <row r="6" spans="1:14" x14ac:dyDescent="0.25">
      <c r="A6" s="8" t="s">
        <v>115</v>
      </c>
      <c r="B6" s="8" t="s">
        <v>116</v>
      </c>
      <c r="C6" s="8" t="s">
        <v>151</v>
      </c>
      <c r="D6" s="13">
        <v>3879.7938089542845</v>
      </c>
      <c r="E6" s="13">
        <v>3879.7938089542845</v>
      </c>
      <c r="F6" s="13">
        <v>3879.7938089542845</v>
      </c>
      <c r="G6" s="13">
        <v>11639.381426862854</v>
      </c>
      <c r="H6" s="12">
        <v>9.893474212833425</v>
      </c>
      <c r="I6" s="12">
        <v>6.1314246305406055</v>
      </c>
      <c r="J6" s="9">
        <v>13.999999999999998</v>
      </c>
      <c r="K6" s="10">
        <v>35</v>
      </c>
      <c r="L6" s="8" t="s">
        <v>166</v>
      </c>
      <c r="M6" s="11">
        <v>30</v>
      </c>
      <c r="N6" s="12">
        <v>0.8680239257462389</v>
      </c>
    </row>
    <row r="7" spans="1:9" s="2" customFormat="1" x14ac:dyDescent="0.25">
      <c r="A7" s="2" t="s">
        <v>156</v>
      </c>
      <c r="D7" s="14">
        <f>SUM(D4:D6)</f>
        <v>30584.389634907162</v>
      </c>
      <c r="E7" s="14">
        <f>SUM(E4:E6)</f>
        <v>30584.389634907162</v>
      </c>
      <c r="F7" s="14">
        <f>SUM(F4:F6)</f>
        <v>30584.389634907162</v>
      </c>
      <c r="G7" s="14">
        <f>SUM(G4:G6)</f>
        <v>91753.16890472149</v>
      </c>
      <c r="H7" s="15">
        <f>SUM(H4:H6)</f>
        <v>80.59757379718422</v>
      </c>
      <c r="I7" s="15">
        <f>SUM(I4:I6)</f>
        <v>42.7402954253319</v>
      </c>
    </row>
    <row r="8" spans="1:6" s="2" customFormat="1" x14ac:dyDescent="0.25">
      <c r="A8" s="2" t="s">
        <v>157</v>
      </c>
      <c r="D8" s="16">
        <f>D7/(480/SQRT(3))</f>
        <v>110.3619099294628</v>
      </c>
      <c r="E8" s="16">
        <f>E7/(480/SQRT(3))</f>
        <v>110.3619099294628</v>
      </c>
      <c r="F8" s="16">
        <f>F7/(480/SQRT(3))</f>
        <v>110.3619099294628</v>
      </c>
    </row>
    <row r="9" spans="1:5" s="2" customFormat="1" x14ac:dyDescent="0.25">
      <c r="A9" s="2" t="s">
        <v>158</v>
      </c>
      <c r="D9" s="16">
        <f>IF(MAX(D7:F7)=0,0,(MAX(D7:F7)-MIN(D7:F7))/MAX(D7:F7)*100)</f>
        <v>0</v>
      </c>
      <c r="E9" s="2" t="s">
        <v>159</v>
      </c>
    </row>
    <row r="11" spans="1:1" x14ac:dyDescent="0.25">
      <c r="A11" s="7" t="s">
        <v>167</v>
      </c>
    </row>
    <row r="12" spans="1:1" x14ac:dyDescent="0.25">
      <c r="A12" s="7" t="s">
        <v>168</v>
      </c>
    </row>
    <row r="13" spans="1:1" x14ac:dyDescent="0.25">
      <c r="A13" s="7" t="s">
        <v>169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170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124</v>
      </c>
      <c r="B4" s="8" t="s">
        <v>125</v>
      </c>
      <c r="C4" s="8" t="s">
        <v>171</v>
      </c>
      <c r="D4" s="13">
        <v>3333.3333333333335</v>
      </c>
      <c r="E4" s="13">
        <v>0</v>
      </c>
      <c r="F4" s="13">
        <v>0</v>
      </c>
      <c r="G4" s="13">
        <v>3333.3333333333335</v>
      </c>
      <c r="H4" s="12">
        <v>3</v>
      </c>
      <c r="I4" s="12">
        <v>1.4529663145135576</v>
      </c>
      <c r="J4" s="9">
        <v>12.028130608117204</v>
      </c>
      <c r="K4" s="10">
        <v>16</v>
      </c>
      <c r="L4" s="8" t="s">
        <v>166</v>
      </c>
      <c r="M4" s="11">
        <v>40</v>
      </c>
      <c r="N4" s="12">
        <v>2.0892890664238433</v>
      </c>
    </row>
    <row r="5" spans="1:14" x14ac:dyDescent="0.25">
      <c r="A5" s="8" t="s">
        <v>128</v>
      </c>
      <c r="B5" s="8" t="s">
        <v>129</v>
      </c>
      <c r="C5" s="8" t="s">
        <v>151</v>
      </c>
      <c r="D5" s="13">
        <v>13333.333333333334</v>
      </c>
      <c r="E5" s="13">
        <v>13333.333333333334</v>
      </c>
      <c r="F5" s="13">
        <v>13333.333333333334</v>
      </c>
      <c r="G5" s="13">
        <v>40000</v>
      </c>
      <c r="H5" s="12">
        <v>36</v>
      </c>
      <c r="I5" s="12">
        <v>17.435595774162692</v>
      </c>
      <c r="J5" s="9">
        <v>48.112522432468815</v>
      </c>
      <c r="K5" s="10">
        <v>50</v>
      </c>
      <c r="L5" s="8" t="s">
        <v>172</v>
      </c>
      <c r="M5" s="11">
        <v>20</v>
      </c>
      <c r="N5" s="12">
        <v>0.5284005598462254</v>
      </c>
    </row>
    <row r="6" spans="1:9" s="2" customFormat="1" x14ac:dyDescent="0.25">
      <c r="A6" s="2" t="s">
        <v>156</v>
      </c>
      <c r="D6" s="14">
        <f>SUM(D4:D5)</f>
        <v>16666.666666666668</v>
      </c>
      <c r="E6" s="14">
        <f>SUM(E4:E5)</f>
        <v>13333.333333333334</v>
      </c>
      <c r="F6" s="14">
        <f>SUM(F4:F5)</f>
        <v>13333.333333333334</v>
      </c>
      <c r="G6" s="14">
        <f>SUM(G4:G5)</f>
        <v>43333.333333333336</v>
      </c>
      <c r="H6" s="15">
        <f>SUM(H4:H5)</f>
        <v>39</v>
      </c>
      <c r="I6" s="15">
        <f>SUM(I4:I5)</f>
        <v>18.88856208867625</v>
      </c>
    </row>
    <row r="7" spans="1:6" s="2" customFormat="1" x14ac:dyDescent="0.25">
      <c r="A7" s="2" t="s">
        <v>157</v>
      </c>
      <c r="D7" s="16">
        <f>D6/(480/SQRT(3))</f>
        <v>60.14065304058602</v>
      </c>
      <c r="E7" s="16">
        <f>E6/(480/SQRT(3))</f>
        <v>48.112522432468815</v>
      </c>
      <c r="F7" s="16">
        <f>F6/(480/SQRT(3))</f>
        <v>48.112522432468815</v>
      </c>
    </row>
    <row r="8" spans="1:5" s="2" customFormat="1" x14ac:dyDescent="0.25">
      <c r="A8" s="2" t="s">
        <v>158</v>
      </c>
      <c r="D8" s="17">
        <f>IF(MAX(D6:F6)=0,0,(MAX(D6:F6)-MIN(D6:F6))/MAX(D6:F6)*100)</f>
        <v>20</v>
      </c>
      <c r="E8" s="2" t="s">
        <v>159</v>
      </c>
    </row>
    <row r="10" spans="1:1" x14ac:dyDescent="0.25">
      <c r="A10" s="7" t="s">
        <v>173</v>
      </c>
    </row>
    <row r="11" spans="1:1" x14ac:dyDescent="0.25">
      <c r="A11" s="7" t="s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7" customWidth="1"/>
    <col min="4" max="6" width="11" customWidth="1"/>
    <col min="7" max="7" width="12" customWidth="1"/>
    <col min="11" max="11" width="12" customWidth="1"/>
    <col min="12" max="12" width="18" customWidth="1"/>
    <col min="13" max="13" width="8" customWidth="1"/>
    <col min="14" max="14" width="11" customWidth="1"/>
  </cols>
  <sheetData>
    <row r="1" spans="1:1" x14ac:dyDescent="0.25">
      <c r="A1" s="4" t="s">
        <v>175</v>
      </c>
    </row>
    <row r="3" spans="1:14" x14ac:dyDescent="0.25">
      <c r="A3" s="5" t="s">
        <v>66</v>
      </c>
      <c r="B3" s="5" t="s">
        <v>141</v>
      </c>
      <c r="C3" s="5" t="s">
        <v>142</v>
      </c>
      <c r="D3" s="5" t="s">
        <v>143</v>
      </c>
      <c r="E3" s="5" t="s">
        <v>144</v>
      </c>
      <c r="F3" s="5" t="s">
        <v>145</v>
      </c>
      <c r="G3" s="5" t="s">
        <v>146</v>
      </c>
      <c r="H3" s="5" t="s">
        <v>147</v>
      </c>
      <c r="I3" s="5" t="s">
        <v>148</v>
      </c>
      <c r="J3" s="5" t="s">
        <v>149</v>
      </c>
      <c r="K3" s="5" t="s">
        <v>74</v>
      </c>
      <c r="L3" s="5" t="s">
        <v>75</v>
      </c>
      <c r="M3" s="5" t="s">
        <v>78</v>
      </c>
      <c r="N3" s="5" t="s">
        <v>79</v>
      </c>
    </row>
    <row r="4" spans="1:14" x14ac:dyDescent="0.25">
      <c r="A4" s="8" t="s">
        <v>132</v>
      </c>
      <c r="B4" s="8" t="s">
        <v>133</v>
      </c>
      <c r="C4" s="8" t="s">
        <v>171</v>
      </c>
      <c r="D4" s="13">
        <v>1111.111111111111</v>
      </c>
      <c r="E4" s="13">
        <v>0</v>
      </c>
      <c r="F4" s="13">
        <v>0</v>
      </c>
      <c r="G4" s="13">
        <v>1111.111111111111</v>
      </c>
      <c r="H4" s="12">
        <v>1</v>
      </c>
      <c r="I4" s="12">
        <v>0.48432210483785254</v>
      </c>
      <c r="J4" s="9">
        <v>8.747731351357965</v>
      </c>
      <c r="K4" s="10">
        <v>15</v>
      </c>
      <c r="L4" s="8" t="s">
        <v>166</v>
      </c>
      <c r="M4" s="11">
        <v>30</v>
      </c>
      <c r="N4" s="12">
        <v>2.4864266575622596</v>
      </c>
    </row>
    <row r="5" spans="1:14" x14ac:dyDescent="0.25">
      <c r="A5" s="8" t="s">
        <v>135</v>
      </c>
      <c r="B5" s="8" t="s">
        <v>136</v>
      </c>
      <c r="C5" s="8" t="s">
        <v>176</v>
      </c>
      <c r="D5" s="13">
        <v>0</v>
      </c>
      <c r="E5" s="13">
        <v>1440</v>
      </c>
      <c r="F5" s="13">
        <v>0</v>
      </c>
      <c r="G5" s="13">
        <v>1440</v>
      </c>
      <c r="H5" s="12">
        <v>1.296</v>
      </c>
      <c r="I5" s="12">
        <v>0.6276814478698569</v>
      </c>
      <c r="J5" s="9">
        <v>11.337059831359923</v>
      </c>
      <c r="K5" s="10">
        <v>15</v>
      </c>
      <c r="L5" s="8" t="s">
        <v>166</v>
      </c>
      <c r="M5" s="11">
        <v>25</v>
      </c>
      <c r="N5" s="12">
        <v>2.6853407901672415</v>
      </c>
    </row>
    <row r="6" spans="1:14" x14ac:dyDescent="0.25">
      <c r="A6" s="8" t="s">
        <v>138</v>
      </c>
      <c r="B6" s="8" t="s">
        <v>139</v>
      </c>
      <c r="C6" s="8" t="s">
        <v>151</v>
      </c>
      <c r="D6" s="13">
        <v>5555.555555555556</v>
      </c>
      <c r="E6" s="13">
        <v>5555.555555555556</v>
      </c>
      <c r="F6" s="13">
        <v>5555.555555555556</v>
      </c>
      <c r="G6" s="13">
        <v>16666.666666666668</v>
      </c>
      <c r="H6" s="12">
        <v>15.000000000000002</v>
      </c>
      <c r="I6" s="12">
        <v>7.264831572567789</v>
      </c>
      <c r="J6" s="9">
        <v>43.73865675678983</v>
      </c>
      <c r="K6" s="10">
        <v>45</v>
      </c>
      <c r="L6" s="8" t="s">
        <v>172</v>
      </c>
      <c r="M6" s="11">
        <v>40</v>
      </c>
      <c r="N6" s="12">
        <v>2.096134452282547</v>
      </c>
    </row>
    <row r="7" spans="1:9" s="2" customFormat="1" x14ac:dyDescent="0.25">
      <c r="A7" s="2" t="s">
        <v>156</v>
      </c>
      <c r="D7" s="14">
        <f>SUM(D4:D6)</f>
        <v>6666.666666666667</v>
      </c>
      <c r="E7" s="14">
        <f>SUM(E4:E6)</f>
        <v>6995.555555555556</v>
      </c>
      <c r="F7" s="14">
        <f>SUM(F4:F6)</f>
        <v>5555.555555555556</v>
      </c>
      <c r="G7" s="14">
        <f>SUM(G4:G6)</f>
        <v>19217.777777777777</v>
      </c>
      <c r="H7" s="15">
        <f>SUM(H4:H6)</f>
        <v>17.296000000000003</v>
      </c>
      <c r="I7" s="15">
        <f>SUM(I4:I6)</f>
        <v>8.376835125275498</v>
      </c>
    </row>
    <row r="8" spans="1:6" s="2" customFormat="1" x14ac:dyDescent="0.25">
      <c r="A8" s="2" t="s">
        <v>157</v>
      </c>
      <c r="D8" s="16">
        <f>D7/(220/SQRT(3))</f>
        <v>52.4863881081478</v>
      </c>
      <c r="E8" s="16">
        <f>E7/(220/SQRT(3))</f>
        <v>55.07571658814975</v>
      </c>
      <c r="F8" s="16">
        <f>F7/(220/SQRT(3))</f>
        <v>43.73865675678983</v>
      </c>
    </row>
    <row r="9" spans="1:5" s="2" customFormat="1" x14ac:dyDescent="0.25">
      <c r="A9" s="2" t="s">
        <v>158</v>
      </c>
      <c r="D9" s="17">
        <f>IF(MAX(D7:F7)=0,0,(MAX(D7:F7)-MIN(D7:F7))/MAX(D7:F7)*100)</f>
        <v>20.584498094027953</v>
      </c>
      <c r="E9" s="2" t="s">
        <v>159</v>
      </c>
    </row>
    <row r="11" spans="1:1" x14ac:dyDescent="0.25">
      <c r="A11" s="7" t="s">
        <v>177</v>
      </c>
    </row>
    <row r="12" spans="1:1" x14ac:dyDescent="0.25">
      <c r="A12" s="7" t="s">
        <v>178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3" width="22" customWidth="1"/>
    <col min="4" max="4" width="6" customWidth="1"/>
    <col min="5" max="6" width="34" customWidth="1"/>
    <col min="7" max="7" width="40" customWidth="1"/>
    <col min="8" max="8" width="22" customWidth="1"/>
    <col min="9" max="9" width="40" customWidth="1"/>
  </cols>
  <sheetData>
    <row r="1" spans="1:9" x14ac:dyDescent="0.25">
      <c r="A1" s="5" t="s">
        <v>179</v>
      </c>
      <c r="B1" s="5" t="s">
        <v>70</v>
      </c>
      <c r="C1" s="5" t="s">
        <v>0</v>
      </c>
      <c r="D1" s="5" t="s">
        <v>180</v>
      </c>
      <c r="E1" s="5" t="s">
        <v>9</v>
      </c>
      <c r="F1" s="5" t="s">
        <v>181</v>
      </c>
      <c r="G1" s="5" t="s">
        <v>182</v>
      </c>
      <c r="H1" s="5" t="s">
        <v>183</v>
      </c>
      <c r="I1" s="5" t="s">
        <v>184</v>
      </c>
    </row>
    <row r="2" spans="1:9" x14ac:dyDescent="0.25">
      <c r="A2" s="8" t="s">
        <v>185</v>
      </c>
      <c r="B2" s="8" t="s">
        <v>186</v>
      </c>
      <c r="C2" s="6" t="s">
        <v>187</v>
      </c>
      <c r="D2" s="8">
        <v>1</v>
      </c>
      <c r="E2" s="8" t="s">
        <v>188</v>
      </c>
      <c r="F2" s="8" t="s">
        <v>189</v>
      </c>
      <c r="G2" s="8" t="s">
        <v>190</v>
      </c>
      <c r="H2" s="8" t="s">
        <v>191</v>
      </c>
      <c r="I2" s="8" t="s">
        <v>192</v>
      </c>
    </row>
    <row r="3" spans="1:9" x14ac:dyDescent="0.25">
      <c r="A3" s="8" t="s">
        <v>185</v>
      </c>
      <c r="B3" s="8" t="s">
        <v>186</v>
      </c>
      <c r="C3" s="6" t="s">
        <v>187</v>
      </c>
      <c r="D3" s="8">
        <v>2</v>
      </c>
      <c r="E3" s="8" t="s">
        <v>193</v>
      </c>
      <c r="F3" s="8" t="s">
        <v>192</v>
      </c>
      <c r="G3" s="8" t="s">
        <v>192</v>
      </c>
      <c r="H3" s="6" t="s">
        <v>194</v>
      </c>
      <c r="I3" s="8" t="s">
        <v>192</v>
      </c>
    </row>
    <row r="4" spans="1:9" x14ac:dyDescent="0.25">
      <c r="A4" s="8" t="s">
        <v>185</v>
      </c>
      <c r="B4" s="8" t="s">
        <v>186</v>
      </c>
      <c r="C4" s="6" t="s">
        <v>187</v>
      </c>
      <c r="D4" s="8">
        <v>3</v>
      </c>
      <c r="E4" s="8" t="s">
        <v>195</v>
      </c>
      <c r="F4" s="8" t="s">
        <v>192</v>
      </c>
      <c r="G4" s="8" t="s">
        <v>192</v>
      </c>
      <c r="H4" s="6" t="s">
        <v>196</v>
      </c>
      <c r="I4" s="8" t="s">
        <v>192</v>
      </c>
    </row>
    <row r="5" spans="1:9" x14ac:dyDescent="0.25">
      <c r="A5" s="8" t="s">
        <v>185</v>
      </c>
      <c r="B5" s="8" t="s">
        <v>186</v>
      </c>
      <c r="C5" s="6" t="s">
        <v>187</v>
      </c>
      <c r="D5" s="8">
        <v>4</v>
      </c>
      <c r="E5" s="8" t="s">
        <v>197</v>
      </c>
      <c r="F5" s="8" t="s">
        <v>198</v>
      </c>
      <c r="G5" s="8" t="s">
        <v>199</v>
      </c>
      <c r="H5" s="8" t="s">
        <v>200</v>
      </c>
      <c r="I5" s="8" t="s">
        <v>192</v>
      </c>
    </row>
    <row r="6" spans="1:9" x14ac:dyDescent="0.25">
      <c r="A6" s="8" t="s">
        <v>201</v>
      </c>
      <c r="B6" s="8" t="s">
        <v>202</v>
      </c>
      <c r="C6" s="6" t="s">
        <v>203</v>
      </c>
      <c r="D6" s="8">
        <v>1</v>
      </c>
      <c r="E6" s="8" t="s">
        <v>204</v>
      </c>
      <c r="F6" s="6" t="s">
        <v>205</v>
      </c>
      <c r="G6" s="8" t="s">
        <v>206</v>
      </c>
      <c r="H6" s="8" t="s">
        <v>207</v>
      </c>
      <c r="I6" s="8" t="s">
        <v>192</v>
      </c>
    </row>
    <row r="7" spans="1:9" x14ac:dyDescent="0.25">
      <c r="A7" s="8" t="s">
        <v>201</v>
      </c>
      <c r="B7" s="8" t="s">
        <v>202</v>
      </c>
      <c r="C7" s="6" t="s">
        <v>203</v>
      </c>
      <c r="D7" s="8">
        <v>2</v>
      </c>
      <c r="E7" s="8" t="s">
        <v>208</v>
      </c>
      <c r="F7" s="8" t="s">
        <v>209</v>
      </c>
      <c r="G7" s="8" t="s">
        <v>210</v>
      </c>
      <c r="H7" s="8" t="s">
        <v>211</v>
      </c>
      <c r="I7" s="8" t="s">
        <v>192</v>
      </c>
    </row>
    <row r="8" spans="1:9" x14ac:dyDescent="0.25">
      <c r="A8" s="8" t="s">
        <v>201</v>
      </c>
      <c r="B8" s="8" t="s">
        <v>202</v>
      </c>
      <c r="C8" s="6" t="s">
        <v>203</v>
      </c>
      <c r="D8" s="8">
        <v>3</v>
      </c>
      <c r="E8" s="6" t="s">
        <v>212</v>
      </c>
      <c r="F8" s="8" t="s">
        <v>192</v>
      </c>
      <c r="G8" s="8" t="s">
        <v>192</v>
      </c>
      <c r="H8" s="8" t="s">
        <v>213</v>
      </c>
      <c r="I8" s="8" t="s">
        <v>192</v>
      </c>
    </row>
    <row r="9" spans="1:9" x14ac:dyDescent="0.25">
      <c r="A9" s="8" t="s">
        <v>201</v>
      </c>
      <c r="B9" s="8" t="s">
        <v>202</v>
      </c>
      <c r="C9" s="6" t="s">
        <v>214</v>
      </c>
      <c r="D9" s="8">
        <v>1</v>
      </c>
      <c r="E9" s="8" t="s">
        <v>215</v>
      </c>
      <c r="F9" s="8" t="s">
        <v>192</v>
      </c>
      <c r="G9" s="8" t="s">
        <v>192</v>
      </c>
      <c r="H9" s="6" t="s">
        <v>216</v>
      </c>
      <c r="I9" s="8" t="s">
        <v>192</v>
      </c>
    </row>
    <row r="10" spans="1:9" x14ac:dyDescent="0.25">
      <c r="A10" s="8" t="s">
        <v>201</v>
      </c>
      <c r="B10" s="8" t="s">
        <v>202</v>
      </c>
      <c r="C10" s="6" t="s">
        <v>214</v>
      </c>
      <c r="D10" s="8">
        <v>2</v>
      </c>
      <c r="E10" s="8" t="s">
        <v>217</v>
      </c>
      <c r="F10" s="8" t="s">
        <v>198</v>
      </c>
      <c r="G10" s="8" t="s">
        <v>218</v>
      </c>
      <c r="H10" s="8" t="s">
        <v>219</v>
      </c>
      <c r="I10" s="8" t="s">
        <v>192</v>
      </c>
    </row>
    <row r="11" spans="1:9" x14ac:dyDescent="0.25">
      <c r="A11" s="8" t="s">
        <v>201</v>
      </c>
      <c r="B11" s="8" t="s">
        <v>202</v>
      </c>
      <c r="C11" s="6" t="s">
        <v>214</v>
      </c>
      <c r="D11" s="8">
        <v>3</v>
      </c>
      <c r="E11" s="8" t="s">
        <v>220</v>
      </c>
      <c r="F11" s="8" t="s">
        <v>192</v>
      </c>
      <c r="G11" s="8" t="s">
        <v>192</v>
      </c>
      <c r="H11" s="8" t="s">
        <v>200</v>
      </c>
      <c r="I11" s="8" t="s">
        <v>192</v>
      </c>
    </row>
    <row r="12" spans="1:9" x14ac:dyDescent="0.25">
      <c r="A12" s="8" t="s">
        <v>201</v>
      </c>
      <c r="B12" s="8" t="s">
        <v>202</v>
      </c>
      <c r="C12" s="6" t="s">
        <v>214</v>
      </c>
      <c r="D12" s="8">
        <v>4</v>
      </c>
      <c r="E12" s="8" t="s">
        <v>221</v>
      </c>
      <c r="F12" s="6" t="s">
        <v>222</v>
      </c>
      <c r="G12" s="6" t="s">
        <v>223</v>
      </c>
      <c r="H12" s="8" t="s">
        <v>224</v>
      </c>
      <c r="I12" s="8" t="s">
        <v>192</v>
      </c>
    </row>
    <row r="13" spans="1:9" x14ac:dyDescent="0.25">
      <c r="A13" s="8" t="s">
        <v>84</v>
      </c>
      <c r="B13" s="8" t="s">
        <v>225</v>
      </c>
      <c r="C13" s="8" t="s">
        <v>226</v>
      </c>
      <c r="D13" s="8">
        <v>1</v>
      </c>
      <c r="E13" s="6" t="s">
        <v>227</v>
      </c>
      <c r="F13" s="8" t="s">
        <v>192</v>
      </c>
      <c r="G13" s="8" t="s">
        <v>192</v>
      </c>
      <c r="H13" s="8" t="s">
        <v>228</v>
      </c>
      <c r="I13" s="8" t="s">
        <v>192</v>
      </c>
    </row>
    <row r="14" spans="1:9" x14ac:dyDescent="0.25">
      <c r="A14" s="8" t="s">
        <v>83</v>
      </c>
      <c r="B14" s="8" t="s">
        <v>229</v>
      </c>
      <c r="C14" s="8" t="s">
        <v>230</v>
      </c>
      <c r="D14" s="8">
        <v>1</v>
      </c>
      <c r="E14" s="6" t="s">
        <v>231</v>
      </c>
      <c r="F14" s="6" t="s">
        <v>232</v>
      </c>
      <c r="G14" s="6" t="s">
        <v>233</v>
      </c>
      <c r="H14" s="8" t="s">
        <v>234</v>
      </c>
      <c r="I14" s="8" t="s">
        <v>235</v>
      </c>
    </row>
    <row r="15" spans="1:9" x14ac:dyDescent="0.25">
      <c r="A15" s="8" t="s">
        <v>83</v>
      </c>
      <c r="B15" s="8" t="s">
        <v>229</v>
      </c>
      <c r="C15" s="8" t="s">
        <v>230</v>
      </c>
      <c r="D15" s="8">
        <v>2</v>
      </c>
      <c r="E15" s="6" t="s">
        <v>236</v>
      </c>
      <c r="F15" s="6" t="s">
        <v>237</v>
      </c>
      <c r="G15" s="6" t="s">
        <v>238</v>
      </c>
      <c r="H15" s="6" t="s">
        <v>239</v>
      </c>
      <c r="I15" s="6" t="s">
        <v>240</v>
      </c>
    </row>
    <row r="16" spans="1:9" x14ac:dyDescent="0.25">
      <c r="A16" s="8" t="s">
        <v>83</v>
      </c>
      <c r="B16" s="8" t="s">
        <v>229</v>
      </c>
      <c r="C16" s="6" t="s">
        <v>241</v>
      </c>
      <c r="D16" s="8">
        <v>1</v>
      </c>
      <c r="E16" s="8" t="s">
        <v>215</v>
      </c>
      <c r="F16" s="8" t="s">
        <v>192</v>
      </c>
      <c r="G16" s="8" t="s">
        <v>192</v>
      </c>
      <c r="H16" s="6" t="s">
        <v>242</v>
      </c>
      <c r="I16" s="8" t="s">
        <v>192</v>
      </c>
    </row>
    <row r="17" spans="1:9" x14ac:dyDescent="0.25">
      <c r="A17" s="8" t="s">
        <v>83</v>
      </c>
      <c r="B17" s="8" t="s">
        <v>229</v>
      </c>
      <c r="C17" s="6" t="s">
        <v>241</v>
      </c>
      <c r="D17" s="8">
        <v>2</v>
      </c>
      <c r="E17" s="8" t="s">
        <v>217</v>
      </c>
      <c r="F17" s="8" t="s">
        <v>198</v>
      </c>
      <c r="G17" s="8" t="s">
        <v>243</v>
      </c>
      <c r="H17" s="8" t="s">
        <v>244</v>
      </c>
      <c r="I17" s="8" t="s">
        <v>192</v>
      </c>
    </row>
    <row r="18" spans="1:9" x14ac:dyDescent="0.25">
      <c r="A18" s="8" t="s">
        <v>83</v>
      </c>
      <c r="B18" s="8" t="s">
        <v>229</v>
      </c>
      <c r="C18" s="6" t="s">
        <v>241</v>
      </c>
      <c r="D18" s="8">
        <v>3</v>
      </c>
      <c r="E18" s="8" t="s">
        <v>245</v>
      </c>
      <c r="F18" s="8" t="s">
        <v>192</v>
      </c>
      <c r="G18" s="8" t="s">
        <v>192</v>
      </c>
      <c r="H18" s="8" t="s">
        <v>246</v>
      </c>
      <c r="I18" s="8" t="s">
        <v>192</v>
      </c>
    </row>
    <row r="19" spans="1:9" x14ac:dyDescent="0.25">
      <c r="A19" s="8" t="s">
        <v>92</v>
      </c>
      <c r="B19" s="8" t="s">
        <v>229</v>
      </c>
      <c r="C19" s="8" t="s">
        <v>230</v>
      </c>
      <c r="D19" s="8">
        <v>1</v>
      </c>
      <c r="E19" s="8" t="s">
        <v>247</v>
      </c>
      <c r="F19" s="8" t="s">
        <v>248</v>
      </c>
      <c r="G19" s="8" t="s">
        <v>249</v>
      </c>
      <c r="H19" s="8" t="s">
        <v>250</v>
      </c>
      <c r="I19" s="8" t="s">
        <v>192</v>
      </c>
    </row>
    <row r="20" spans="1:9" x14ac:dyDescent="0.25">
      <c r="A20" s="8" t="s">
        <v>92</v>
      </c>
      <c r="B20" s="8" t="s">
        <v>229</v>
      </c>
      <c r="C20" s="8" t="s">
        <v>230</v>
      </c>
      <c r="D20" s="8">
        <v>2</v>
      </c>
      <c r="E20" s="8" t="s">
        <v>251</v>
      </c>
      <c r="F20" s="6" t="s">
        <v>252</v>
      </c>
      <c r="G20" s="8" t="s">
        <v>253</v>
      </c>
      <c r="H20" s="8" t="s">
        <v>254</v>
      </c>
      <c r="I20" s="6" t="s">
        <v>255</v>
      </c>
    </row>
    <row r="21" spans="1:9" x14ac:dyDescent="0.25">
      <c r="A21" s="8" t="s">
        <v>92</v>
      </c>
      <c r="B21" s="8" t="s">
        <v>229</v>
      </c>
      <c r="C21" s="6" t="s">
        <v>256</v>
      </c>
      <c r="D21" s="8">
        <v>1</v>
      </c>
      <c r="E21" s="8" t="s">
        <v>215</v>
      </c>
      <c r="F21" s="8" t="s">
        <v>192</v>
      </c>
      <c r="G21" s="8" t="s">
        <v>192</v>
      </c>
      <c r="H21" s="6" t="s">
        <v>257</v>
      </c>
      <c r="I21" s="8" t="s">
        <v>192</v>
      </c>
    </row>
    <row r="22" spans="1:9" x14ac:dyDescent="0.25">
      <c r="A22" s="8" t="s">
        <v>92</v>
      </c>
      <c r="B22" s="8" t="s">
        <v>229</v>
      </c>
      <c r="C22" s="6" t="s">
        <v>256</v>
      </c>
      <c r="D22" s="8">
        <v>2</v>
      </c>
      <c r="E22" s="8" t="s">
        <v>217</v>
      </c>
      <c r="F22" s="8" t="s">
        <v>198</v>
      </c>
      <c r="G22" s="8" t="s">
        <v>258</v>
      </c>
      <c r="H22" s="8" t="s">
        <v>259</v>
      </c>
      <c r="I22" s="8" t="s">
        <v>192</v>
      </c>
    </row>
    <row r="23" spans="1:9" x14ac:dyDescent="0.25">
      <c r="A23" s="8" t="s">
        <v>92</v>
      </c>
      <c r="B23" s="8" t="s">
        <v>229</v>
      </c>
      <c r="C23" s="6" t="s">
        <v>256</v>
      </c>
      <c r="D23" s="8">
        <v>3</v>
      </c>
      <c r="E23" s="8" t="s">
        <v>245</v>
      </c>
      <c r="F23" s="8" t="s">
        <v>192</v>
      </c>
      <c r="G23" s="8" t="s">
        <v>192</v>
      </c>
      <c r="H23" s="8" t="s">
        <v>246</v>
      </c>
      <c r="I23" s="8" t="s">
        <v>192</v>
      </c>
    </row>
    <row r="24" spans="1:9" x14ac:dyDescent="0.25">
      <c r="A24" s="8" t="s">
        <v>98</v>
      </c>
      <c r="B24" s="8" t="s">
        <v>229</v>
      </c>
      <c r="C24" s="8" t="s">
        <v>230</v>
      </c>
      <c r="D24" s="8">
        <v>1</v>
      </c>
      <c r="E24" s="8" t="s">
        <v>260</v>
      </c>
      <c r="F24" s="8" t="s">
        <v>192</v>
      </c>
      <c r="G24" s="8" t="s">
        <v>192</v>
      </c>
      <c r="H24" s="6" t="s">
        <v>261</v>
      </c>
      <c r="I24" s="8" t="s">
        <v>192</v>
      </c>
    </row>
    <row r="25" spans="1:9" x14ac:dyDescent="0.25">
      <c r="A25" s="8" t="s">
        <v>98</v>
      </c>
      <c r="B25" s="8" t="s">
        <v>229</v>
      </c>
      <c r="C25" s="8" t="s">
        <v>230</v>
      </c>
      <c r="D25" s="8">
        <v>2</v>
      </c>
      <c r="E25" s="8" t="s">
        <v>262</v>
      </c>
      <c r="F25" s="8" t="s">
        <v>192</v>
      </c>
      <c r="G25" s="8" t="s">
        <v>192</v>
      </c>
      <c r="H25" s="6" t="s">
        <v>263</v>
      </c>
      <c r="I25" s="8" t="s">
        <v>192</v>
      </c>
    </row>
    <row r="26" spans="1:9" x14ac:dyDescent="0.25">
      <c r="A26" s="8" t="s">
        <v>98</v>
      </c>
      <c r="B26" s="8" t="s">
        <v>229</v>
      </c>
      <c r="C26" s="8" t="s">
        <v>230</v>
      </c>
      <c r="D26" s="8">
        <v>3</v>
      </c>
      <c r="E26" s="8" t="s">
        <v>264</v>
      </c>
      <c r="F26" s="6" t="s">
        <v>265</v>
      </c>
      <c r="G26" s="8" t="s">
        <v>266</v>
      </c>
      <c r="H26" s="8" t="s">
        <v>267</v>
      </c>
      <c r="I26" s="8" t="s">
        <v>268</v>
      </c>
    </row>
    <row r="27" spans="1:9" x14ac:dyDescent="0.25">
      <c r="A27" s="8" t="s">
        <v>98</v>
      </c>
      <c r="B27" s="8" t="s">
        <v>229</v>
      </c>
      <c r="C27" s="8" t="s">
        <v>230</v>
      </c>
      <c r="D27" s="8">
        <v>4</v>
      </c>
      <c r="E27" s="8" t="s">
        <v>67</v>
      </c>
      <c r="F27" s="6" t="s">
        <v>269</v>
      </c>
      <c r="G27" s="8" t="s">
        <v>192</v>
      </c>
      <c r="H27" s="8" t="s">
        <v>270</v>
      </c>
      <c r="I27" s="6" t="s">
        <v>271</v>
      </c>
    </row>
    <row r="28" spans="1:9" x14ac:dyDescent="0.25">
      <c r="A28" s="8" t="s">
        <v>98</v>
      </c>
      <c r="B28" s="8" t="s">
        <v>229</v>
      </c>
      <c r="C28" s="6" t="s">
        <v>272</v>
      </c>
      <c r="D28" s="8">
        <v>1</v>
      </c>
      <c r="E28" s="8" t="s">
        <v>215</v>
      </c>
      <c r="F28" s="8" t="s">
        <v>192</v>
      </c>
      <c r="G28" s="8" t="s">
        <v>192</v>
      </c>
      <c r="H28" s="6" t="s">
        <v>273</v>
      </c>
      <c r="I28" s="8" t="s">
        <v>192</v>
      </c>
    </row>
    <row r="29" spans="1:9" x14ac:dyDescent="0.25">
      <c r="A29" s="8" t="s">
        <v>98</v>
      </c>
      <c r="B29" s="8" t="s">
        <v>229</v>
      </c>
      <c r="C29" s="6" t="s">
        <v>272</v>
      </c>
      <c r="D29" s="8">
        <v>2</v>
      </c>
      <c r="E29" s="8" t="s">
        <v>217</v>
      </c>
      <c r="F29" s="8" t="s">
        <v>198</v>
      </c>
      <c r="G29" s="8" t="s">
        <v>274</v>
      </c>
      <c r="H29" s="8" t="s">
        <v>275</v>
      </c>
      <c r="I29" s="8" t="s">
        <v>192</v>
      </c>
    </row>
    <row r="30" spans="1:9" x14ac:dyDescent="0.25">
      <c r="A30" s="8" t="s">
        <v>98</v>
      </c>
      <c r="B30" s="8" t="s">
        <v>229</v>
      </c>
      <c r="C30" s="6" t="s">
        <v>272</v>
      </c>
      <c r="D30" s="8">
        <v>3</v>
      </c>
      <c r="E30" s="8" t="s">
        <v>245</v>
      </c>
      <c r="F30" s="8" t="s">
        <v>192</v>
      </c>
      <c r="G30" s="8" t="s">
        <v>192</v>
      </c>
      <c r="H30" s="8" t="s">
        <v>246</v>
      </c>
      <c r="I30" s="8" t="s">
        <v>192</v>
      </c>
    </row>
    <row r="31" spans="1:9" x14ac:dyDescent="0.25">
      <c r="A31" s="8" t="s">
        <v>82</v>
      </c>
      <c r="B31" s="8" t="s">
        <v>276</v>
      </c>
      <c r="C31" s="8" t="s">
        <v>277</v>
      </c>
      <c r="D31" s="8">
        <v>1</v>
      </c>
      <c r="E31" s="6" t="s">
        <v>231</v>
      </c>
      <c r="F31" s="6" t="s">
        <v>232</v>
      </c>
      <c r="G31" s="6" t="s">
        <v>233</v>
      </c>
      <c r="H31" s="8" t="s">
        <v>234</v>
      </c>
      <c r="I31" s="8" t="s">
        <v>235</v>
      </c>
    </row>
    <row r="32" spans="1:9" x14ac:dyDescent="0.25">
      <c r="A32" s="8" t="s">
        <v>82</v>
      </c>
      <c r="B32" s="8" t="s">
        <v>276</v>
      </c>
      <c r="C32" s="8" t="s">
        <v>277</v>
      </c>
      <c r="D32" s="8">
        <v>2</v>
      </c>
      <c r="E32" s="6" t="s">
        <v>236</v>
      </c>
      <c r="F32" s="6" t="s">
        <v>237</v>
      </c>
      <c r="G32" s="6" t="s">
        <v>238</v>
      </c>
      <c r="H32" s="6" t="s">
        <v>239</v>
      </c>
      <c r="I32" s="6" t="s">
        <v>240</v>
      </c>
    </row>
    <row r="33" spans="1:9" x14ac:dyDescent="0.25">
      <c r="A33" s="8" t="s">
        <v>82</v>
      </c>
      <c r="B33" s="8" t="s">
        <v>276</v>
      </c>
      <c r="C33" s="8" t="s">
        <v>277</v>
      </c>
      <c r="D33" s="8">
        <v>3</v>
      </c>
      <c r="E33" s="6" t="s">
        <v>278</v>
      </c>
      <c r="F33" s="8" t="s">
        <v>192</v>
      </c>
      <c r="G33" s="6" t="s">
        <v>279</v>
      </c>
      <c r="H33" s="8" t="s">
        <v>280</v>
      </c>
      <c r="I33" s="6" t="s">
        <v>281</v>
      </c>
    </row>
    <row r="34" spans="1:9" x14ac:dyDescent="0.25">
      <c r="A34" s="8" t="s">
        <v>82</v>
      </c>
      <c r="B34" s="8" t="s">
        <v>276</v>
      </c>
      <c r="C34" s="8" t="s">
        <v>277</v>
      </c>
      <c r="D34" s="8">
        <v>4</v>
      </c>
      <c r="E34" s="8" t="s">
        <v>282</v>
      </c>
      <c r="F34" s="8" t="s">
        <v>192</v>
      </c>
      <c r="G34" s="6" t="s">
        <v>283</v>
      </c>
      <c r="H34" s="8" t="s">
        <v>284</v>
      </c>
      <c r="I34" s="8" t="s">
        <v>285</v>
      </c>
    </row>
    <row r="35" spans="1:9" x14ac:dyDescent="0.25">
      <c r="A35" s="8" t="s">
        <v>82</v>
      </c>
      <c r="B35" s="8" t="s">
        <v>276</v>
      </c>
      <c r="C35" s="8" t="s">
        <v>277</v>
      </c>
      <c r="D35" s="8">
        <v>5</v>
      </c>
      <c r="E35" s="6" t="s">
        <v>286</v>
      </c>
      <c r="F35" s="8" t="s">
        <v>192</v>
      </c>
      <c r="G35" s="6" t="s">
        <v>287</v>
      </c>
      <c r="H35" s="8" t="s">
        <v>288</v>
      </c>
      <c r="I35" s="6" t="s">
        <v>289</v>
      </c>
    </row>
    <row r="36" spans="1:9" x14ac:dyDescent="0.25">
      <c r="A36" s="8" t="s">
        <v>82</v>
      </c>
      <c r="B36" s="8" t="s">
        <v>276</v>
      </c>
      <c r="C36" s="8" t="s">
        <v>277</v>
      </c>
      <c r="D36" s="8">
        <v>6</v>
      </c>
      <c r="E36" s="6" t="s">
        <v>290</v>
      </c>
      <c r="F36" s="8" t="s">
        <v>192</v>
      </c>
      <c r="G36" s="6" t="s">
        <v>291</v>
      </c>
      <c r="H36" s="8" t="s">
        <v>288</v>
      </c>
      <c r="I36" s="6" t="s">
        <v>292</v>
      </c>
    </row>
    <row r="37" spans="1:9" x14ac:dyDescent="0.25">
      <c r="A37" s="8" t="s">
        <v>82</v>
      </c>
      <c r="B37" s="8" t="s">
        <v>276</v>
      </c>
      <c r="C37" s="8" t="s">
        <v>277</v>
      </c>
      <c r="D37" s="8">
        <v>7</v>
      </c>
      <c r="E37" s="6" t="s">
        <v>293</v>
      </c>
      <c r="F37" s="8" t="s">
        <v>192</v>
      </c>
      <c r="G37" s="6" t="s">
        <v>294</v>
      </c>
      <c r="H37" s="8" t="s">
        <v>295</v>
      </c>
      <c r="I37" s="8" t="s">
        <v>192</v>
      </c>
    </row>
    <row r="38" spans="1:9" x14ac:dyDescent="0.25">
      <c r="A38" s="8" t="s">
        <v>82</v>
      </c>
      <c r="B38" s="8" t="s">
        <v>276</v>
      </c>
      <c r="C38" s="8" t="s">
        <v>277</v>
      </c>
      <c r="D38" s="8">
        <v>8</v>
      </c>
      <c r="E38" s="6" t="s">
        <v>296</v>
      </c>
      <c r="F38" s="8" t="s">
        <v>192</v>
      </c>
      <c r="G38" s="8" t="s">
        <v>192</v>
      </c>
      <c r="H38" s="6" t="s">
        <v>297</v>
      </c>
      <c r="I38" s="8" t="s">
        <v>192</v>
      </c>
    </row>
    <row r="39" spans="1:9" x14ac:dyDescent="0.25">
      <c r="A39" s="8" t="s">
        <v>82</v>
      </c>
      <c r="B39" s="8" t="s">
        <v>276</v>
      </c>
      <c r="C39" s="8" t="s">
        <v>277</v>
      </c>
      <c r="D39" s="8">
        <v>9</v>
      </c>
      <c r="E39" s="6" t="s">
        <v>298</v>
      </c>
      <c r="F39" s="8" t="s">
        <v>192</v>
      </c>
      <c r="G39" s="6" t="s">
        <v>299</v>
      </c>
      <c r="H39" s="8" t="s">
        <v>89</v>
      </c>
      <c r="I39" s="6" t="s">
        <v>300</v>
      </c>
    </row>
    <row r="40" spans="1:9" x14ac:dyDescent="0.25">
      <c r="A40" s="8" t="s">
        <v>82</v>
      </c>
      <c r="B40" s="8" t="s">
        <v>276</v>
      </c>
      <c r="C40" s="8" t="s">
        <v>301</v>
      </c>
      <c r="D40" s="8">
        <v>1</v>
      </c>
      <c r="E40" s="6" t="s">
        <v>302</v>
      </c>
      <c r="F40" s="8" t="s">
        <v>192</v>
      </c>
      <c r="G40" s="6" t="s">
        <v>303</v>
      </c>
      <c r="H40" s="6" t="s">
        <v>304</v>
      </c>
      <c r="I40" s="6" t="s">
        <v>305</v>
      </c>
    </row>
    <row r="41" spans="1:9" x14ac:dyDescent="0.25">
      <c r="A41" s="8" t="s">
        <v>82</v>
      </c>
      <c r="B41" s="8" t="s">
        <v>276</v>
      </c>
      <c r="C41" s="8" t="s">
        <v>301</v>
      </c>
      <c r="D41" s="8">
        <v>2</v>
      </c>
      <c r="E41" s="8" t="s">
        <v>306</v>
      </c>
      <c r="F41" s="8" t="s">
        <v>307</v>
      </c>
      <c r="G41" s="6" t="s">
        <v>308</v>
      </c>
      <c r="H41" s="8" t="s">
        <v>309</v>
      </c>
      <c r="I41" s="8" t="s">
        <v>192</v>
      </c>
    </row>
    <row r="42" spans="1:9" x14ac:dyDescent="0.25">
      <c r="A42" s="8" t="s">
        <v>82</v>
      </c>
      <c r="B42" s="8" t="s">
        <v>276</v>
      </c>
      <c r="C42" s="6" t="s">
        <v>310</v>
      </c>
      <c r="D42" s="8">
        <v>1</v>
      </c>
      <c r="E42" s="8" t="s">
        <v>215</v>
      </c>
      <c r="F42" s="8" t="s">
        <v>192</v>
      </c>
      <c r="G42" s="8" t="s">
        <v>192</v>
      </c>
      <c r="H42" s="6" t="s">
        <v>242</v>
      </c>
      <c r="I42" s="8" t="s">
        <v>192</v>
      </c>
    </row>
    <row r="43" spans="1:9" x14ac:dyDescent="0.25">
      <c r="A43" s="8" t="s">
        <v>82</v>
      </c>
      <c r="B43" s="8" t="s">
        <v>276</v>
      </c>
      <c r="C43" s="6" t="s">
        <v>310</v>
      </c>
      <c r="D43" s="8">
        <v>2</v>
      </c>
      <c r="E43" s="8" t="s">
        <v>217</v>
      </c>
      <c r="F43" s="8" t="s">
        <v>198</v>
      </c>
      <c r="G43" s="8" t="s">
        <v>243</v>
      </c>
      <c r="H43" s="8" t="s">
        <v>244</v>
      </c>
      <c r="I43" s="8" t="s">
        <v>192</v>
      </c>
    </row>
    <row r="44" spans="1:9" x14ac:dyDescent="0.25">
      <c r="A44" s="8" t="s">
        <v>82</v>
      </c>
      <c r="B44" s="8" t="s">
        <v>276</v>
      </c>
      <c r="C44" s="6" t="s">
        <v>310</v>
      </c>
      <c r="D44" s="8">
        <v>3</v>
      </c>
      <c r="E44" s="6" t="s">
        <v>311</v>
      </c>
      <c r="F44" s="6" t="s">
        <v>312</v>
      </c>
      <c r="G44" s="6" t="s">
        <v>313</v>
      </c>
      <c r="H44" s="8" t="s">
        <v>314</v>
      </c>
      <c r="I44" s="6" t="s">
        <v>315</v>
      </c>
    </row>
    <row r="45" spans="1:9" x14ac:dyDescent="0.25">
      <c r="A45" s="8" t="s">
        <v>85</v>
      </c>
      <c r="B45" s="6" t="s">
        <v>316</v>
      </c>
      <c r="C45" s="8" t="s">
        <v>317</v>
      </c>
      <c r="D45" s="8">
        <v>1</v>
      </c>
      <c r="E45" s="6" t="s">
        <v>227</v>
      </c>
      <c r="F45" s="8" t="s">
        <v>192</v>
      </c>
      <c r="G45" s="8" t="s">
        <v>192</v>
      </c>
      <c r="H45" s="8" t="s">
        <v>318</v>
      </c>
      <c r="I45" s="8" t="s">
        <v>192</v>
      </c>
    </row>
    <row r="46" spans="1:9" x14ac:dyDescent="0.25">
      <c r="A46" s="8" t="s">
        <v>91</v>
      </c>
      <c r="B46" s="8" t="s">
        <v>276</v>
      </c>
      <c r="C46" s="8" t="s">
        <v>277</v>
      </c>
      <c r="D46" s="8">
        <v>1</v>
      </c>
      <c r="E46" s="8" t="s">
        <v>247</v>
      </c>
      <c r="F46" s="8" t="s">
        <v>248</v>
      </c>
      <c r="G46" s="8" t="s">
        <v>249</v>
      </c>
      <c r="H46" s="8" t="s">
        <v>250</v>
      </c>
      <c r="I46" s="8" t="s">
        <v>192</v>
      </c>
    </row>
    <row r="47" spans="1:9" x14ac:dyDescent="0.25">
      <c r="A47" s="8" t="s">
        <v>91</v>
      </c>
      <c r="B47" s="8" t="s">
        <v>276</v>
      </c>
      <c r="C47" s="8" t="s">
        <v>277</v>
      </c>
      <c r="D47" s="8">
        <v>2</v>
      </c>
      <c r="E47" s="8" t="s">
        <v>251</v>
      </c>
      <c r="F47" s="6" t="s">
        <v>252</v>
      </c>
      <c r="G47" s="8" t="s">
        <v>253</v>
      </c>
      <c r="H47" s="8" t="s">
        <v>254</v>
      </c>
      <c r="I47" s="6" t="s">
        <v>255</v>
      </c>
    </row>
    <row r="48" spans="1:9" x14ac:dyDescent="0.25">
      <c r="A48" s="8" t="s">
        <v>91</v>
      </c>
      <c r="B48" s="8" t="s">
        <v>276</v>
      </c>
      <c r="C48" s="8" t="s">
        <v>277</v>
      </c>
      <c r="D48" s="8">
        <v>3</v>
      </c>
      <c r="E48" s="6" t="s">
        <v>278</v>
      </c>
      <c r="F48" s="8" t="s">
        <v>192</v>
      </c>
      <c r="G48" s="6" t="s">
        <v>279</v>
      </c>
      <c r="H48" s="8" t="s">
        <v>280</v>
      </c>
      <c r="I48" s="6" t="s">
        <v>281</v>
      </c>
    </row>
    <row r="49" spans="1:9" x14ac:dyDescent="0.25">
      <c r="A49" s="8" t="s">
        <v>91</v>
      </c>
      <c r="B49" s="8" t="s">
        <v>276</v>
      </c>
      <c r="C49" s="8" t="s">
        <v>277</v>
      </c>
      <c r="D49" s="8">
        <v>4</v>
      </c>
      <c r="E49" s="8" t="s">
        <v>282</v>
      </c>
      <c r="F49" s="8" t="s">
        <v>192</v>
      </c>
      <c r="G49" s="6" t="s">
        <v>319</v>
      </c>
      <c r="H49" s="8" t="s">
        <v>284</v>
      </c>
      <c r="I49" s="8" t="s">
        <v>285</v>
      </c>
    </row>
    <row r="50" spans="1:9" x14ac:dyDescent="0.25">
      <c r="A50" s="8" t="s">
        <v>91</v>
      </c>
      <c r="B50" s="8" t="s">
        <v>276</v>
      </c>
      <c r="C50" s="8" t="s">
        <v>277</v>
      </c>
      <c r="D50" s="8">
        <v>5</v>
      </c>
      <c r="E50" s="6" t="s">
        <v>286</v>
      </c>
      <c r="F50" s="8" t="s">
        <v>192</v>
      </c>
      <c r="G50" s="6" t="s">
        <v>287</v>
      </c>
      <c r="H50" s="8" t="s">
        <v>288</v>
      </c>
      <c r="I50" s="6" t="s">
        <v>289</v>
      </c>
    </row>
    <row r="51" spans="1:9" x14ac:dyDescent="0.25">
      <c r="A51" s="8" t="s">
        <v>91</v>
      </c>
      <c r="B51" s="8" t="s">
        <v>276</v>
      </c>
      <c r="C51" s="8" t="s">
        <v>277</v>
      </c>
      <c r="D51" s="8">
        <v>6</v>
      </c>
      <c r="E51" s="6" t="s">
        <v>290</v>
      </c>
      <c r="F51" s="8" t="s">
        <v>192</v>
      </c>
      <c r="G51" s="6" t="s">
        <v>291</v>
      </c>
      <c r="H51" s="8" t="s">
        <v>288</v>
      </c>
      <c r="I51" s="6" t="s">
        <v>292</v>
      </c>
    </row>
    <row r="52" spans="1:9" x14ac:dyDescent="0.25">
      <c r="A52" s="8" t="s">
        <v>91</v>
      </c>
      <c r="B52" s="8" t="s">
        <v>276</v>
      </c>
      <c r="C52" s="8" t="s">
        <v>277</v>
      </c>
      <c r="D52" s="8">
        <v>7</v>
      </c>
      <c r="E52" s="6" t="s">
        <v>293</v>
      </c>
      <c r="F52" s="8" t="s">
        <v>192</v>
      </c>
      <c r="G52" s="6" t="s">
        <v>320</v>
      </c>
      <c r="H52" s="8" t="s">
        <v>295</v>
      </c>
      <c r="I52" s="8" t="s">
        <v>192</v>
      </c>
    </row>
    <row r="53" spans="1:9" x14ac:dyDescent="0.25">
      <c r="A53" s="8" t="s">
        <v>91</v>
      </c>
      <c r="B53" s="8" t="s">
        <v>276</v>
      </c>
      <c r="C53" s="8" t="s">
        <v>277</v>
      </c>
      <c r="D53" s="8">
        <v>8</v>
      </c>
      <c r="E53" s="6" t="s">
        <v>296</v>
      </c>
      <c r="F53" s="8" t="s">
        <v>192</v>
      </c>
      <c r="G53" s="8" t="s">
        <v>192</v>
      </c>
      <c r="H53" s="6" t="s">
        <v>321</v>
      </c>
      <c r="I53" s="8" t="s">
        <v>192</v>
      </c>
    </row>
    <row r="54" spans="1:9" x14ac:dyDescent="0.25">
      <c r="A54" s="8" t="s">
        <v>91</v>
      </c>
      <c r="B54" s="8" t="s">
        <v>276</v>
      </c>
      <c r="C54" s="8" t="s">
        <v>277</v>
      </c>
      <c r="D54" s="8">
        <v>9</v>
      </c>
      <c r="E54" s="6" t="s">
        <v>298</v>
      </c>
      <c r="F54" s="8" t="s">
        <v>192</v>
      </c>
      <c r="G54" s="8" t="s">
        <v>322</v>
      </c>
      <c r="H54" s="8" t="s">
        <v>96</v>
      </c>
      <c r="I54" s="6" t="s">
        <v>300</v>
      </c>
    </row>
    <row r="55" spans="1:9" x14ac:dyDescent="0.25">
      <c r="A55" s="8" t="s">
        <v>91</v>
      </c>
      <c r="B55" s="8" t="s">
        <v>276</v>
      </c>
      <c r="C55" s="8" t="s">
        <v>323</v>
      </c>
      <c r="D55" s="8">
        <v>1</v>
      </c>
      <c r="E55" s="6" t="s">
        <v>302</v>
      </c>
      <c r="F55" s="8" t="s">
        <v>192</v>
      </c>
      <c r="G55" s="8" t="s">
        <v>324</v>
      </c>
      <c r="H55" s="6" t="s">
        <v>325</v>
      </c>
      <c r="I55" s="6" t="s">
        <v>305</v>
      </c>
    </row>
    <row r="56" spans="1:9" x14ac:dyDescent="0.25">
      <c r="A56" s="8" t="s">
        <v>91</v>
      </c>
      <c r="B56" s="8" t="s">
        <v>276</v>
      </c>
      <c r="C56" s="8" t="s">
        <v>323</v>
      </c>
      <c r="D56" s="8">
        <v>2</v>
      </c>
      <c r="E56" s="8" t="s">
        <v>306</v>
      </c>
      <c r="F56" s="8" t="s">
        <v>307</v>
      </c>
      <c r="G56" s="6" t="s">
        <v>326</v>
      </c>
      <c r="H56" s="8" t="s">
        <v>327</v>
      </c>
      <c r="I56" s="8" t="s">
        <v>192</v>
      </c>
    </row>
    <row r="57" spans="1:9" x14ac:dyDescent="0.25">
      <c r="A57" s="8" t="s">
        <v>91</v>
      </c>
      <c r="B57" s="8" t="s">
        <v>276</v>
      </c>
      <c r="C57" s="6" t="s">
        <v>328</v>
      </c>
      <c r="D57" s="8">
        <v>1</v>
      </c>
      <c r="E57" s="8" t="s">
        <v>215</v>
      </c>
      <c r="F57" s="8" t="s">
        <v>192</v>
      </c>
      <c r="G57" s="8" t="s">
        <v>192</v>
      </c>
      <c r="H57" s="6" t="s">
        <v>257</v>
      </c>
      <c r="I57" s="8" t="s">
        <v>192</v>
      </c>
    </row>
    <row r="58" spans="1:9" x14ac:dyDescent="0.25">
      <c r="A58" s="8" t="s">
        <v>91</v>
      </c>
      <c r="B58" s="8" t="s">
        <v>276</v>
      </c>
      <c r="C58" s="6" t="s">
        <v>328</v>
      </c>
      <c r="D58" s="8">
        <v>2</v>
      </c>
      <c r="E58" s="8" t="s">
        <v>217</v>
      </c>
      <c r="F58" s="8" t="s">
        <v>198</v>
      </c>
      <c r="G58" s="8" t="s">
        <v>258</v>
      </c>
      <c r="H58" s="8" t="s">
        <v>259</v>
      </c>
      <c r="I58" s="8" t="s">
        <v>192</v>
      </c>
    </row>
    <row r="59" spans="1:9" x14ac:dyDescent="0.25">
      <c r="A59" s="8" t="s">
        <v>91</v>
      </c>
      <c r="B59" s="8" t="s">
        <v>276</v>
      </c>
      <c r="C59" s="6" t="s">
        <v>328</v>
      </c>
      <c r="D59" s="8">
        <v>3</v>
      </c>
      <c r="E59" s="6" t="s">
        <v>311</v>
      </c>
      <c r="F59" s="6" t="s">
        <v>312</v>
      </c>
      <c r="G59" s="6" t="s">
        <v>329</v>
      </c>
      <c r="H59" s="8" t="s">
        <v>330</v>
      </c>
      <c r="I59" s="6" t="s">
        <v>315</v>
      </c>
    </row>
    <row r="60" spans="1:9" x14ac:dyDescent="0.25">
      <c r="A60" s="8" t="s">
        <v>97</v>
      </c>
      <c r="B60" s="8" t="s">
        <v>276</v>
      </c>
      <c r="C60" s="8" t="s">
        <v>277</v>
      </c>
      <c r="D60" s="8">
        <v>1</v>
      </c>
      <c r="E60" s="8" t="s">
        <v>260</v>
      </c>
      <c r="F60" s="8" t="s">
        <v>192</v>
      </c>
      <c r="G60" s="8" t="s">
        <v>192</v>
      </c>
      <c r="H60" s="6" t="s">
        <v>261</v>
      </c>
      <c r="I60" s="8" t="s">
        <v>192</v>
      </c>
    </row>
    <row r="61" spans="1:9" x14ac:dyDescent="0.25">
      <c r="A61" s="8" t="s">
        <v>97</v>
      </c>
      <c r="B61" s="8" t="s">
        <v>276</v>
      </c>
      <c r="C61" s="8" t="s">
        <v>277</v>
      </c>
      <c r="D61" s="8">
        <v>2</v>
      </c>
      <c r="E61" s="8" t="s">
        <v>262</v>
      </c>
      <c r="F61" s="8" t="s">
        <v>192</v>
      </c>
      <c r="G61" s="8" t="s">
        <v>192</v>
      </c>
      <c r="H61" s="6" t="s">
        <v>263</v>
      </c>
      <c r="I61" s="8" t="s">
        <v>192</v>
      </c>
    </row>
    <row r="62" spans="1:9" x14ac:dyDescent="0.25">
      <c r="A62" s="8" t="s">
        <v>97</v>
      </c>
      <c r="B62" s="8" t="s">
        <v>276</v>
      </c>
      <c r="C62" s="8" t="s">
        <v>277</v>
      </c>
      <c r="D62" s="8">
        <v>3</v>
      </c>
      <c r="E62" s="8" t="s">
        <v>264</v>
      </c>
      <c r="F62" s="6" t="s">
        <v>265</v>
      </c>
      <c r="G62" s="8" t="s">
        <v>266</v>
      </c>
      <c r="H62" s="8" t="s">
        <v>267</v>
      </c>
      <c r="I62" s="8" t="s">
        <v>268</v>
      </c>
    </row>
    <row r="63" spans="1:9" x14ac:dyDescent="0.25">
      <c r="A63" s="8" t="s">
        <v>97</v>
      </c>
      <c r="B63" s="8" t="s">
        <v>276</v>
      </c>
      <c r="C63" s="8" t="s">
        <v>277</v>
      </c>
      <c r="D63" s="8">
        <v>4</v>
      </c>
      <c r="E63" s="8" t="s">
        <v>67</v>
      </c>
      <c r="F63" s="6" t="s">
        <v>269</v>
      </c>
      <c r="G63" s="8" t="s">
        <v>192</v>
      </c>
      <c r="H63" s="8" t="s">
        <v>270</v>
      </c>
      <c r="I63" s="6" t="s">
        <v>271</v>
      </c>
    </row>
    <row r="64" spans="1:9" x14ac:dyDescent="0.25">
      <c r="A64" s="8" t="s">
        <v>97</v>
      </c>
      <c r="B64" s="8" t="s">
        <v>276</v>
      </c>
      <c r="C64" s="8" t="s">
        <v>277</v>
      </c>
      <c r="D64" s="8">
        <v>5</v>
      </c>
      <c r="E64" s="6" t="s">
        <v>278</v>
      </c>
      <c r="F64" s="8" t="s">
        <v>192</v>
      </c>
      <c r="G64" s="6" t="s">
        <v>279</v>
      </c>
      <c r="H64" s="8" t="s">
        <v>280</v>
      </c>
      <c r="I64" s="6" t="s">
        <v>281</v>
      </c>
    </row>
    <row r="65" spans="1:9" x14ac:dyDescent="0.25">
      <c r="A65" s="8" t="s">
        <v>97</v>
      </c>
      <c r="B65" s="8" t="s">
        <v>276</v>
      </c>
      <c r="C65" s="8" t="s">
        <v>277</v>
      </c>
      <c r="D65" s="8">
        <v>6</v>
      </c>
      <c r="E65" s="8" t="s">
        <v>282</v>
      </c>
      <c r="F65" s="8" t="s">
        <v>192</v>
      </c>
      <c r="G65" s="6" t="s">
        <v>331</v>
      </c>
      <c r="H65" s="8" t="s">
        <v>332</v>
      </c>
      <c r="I65" s="8" t="s">
        <v>285</v>
      </c>
    </row>
    <row r="66" spans="1:9" x14ac:dyDescent="0.25">
      <c r="A66" s="8" t="s">
        <v>97</v>
      </c>
      <c r="B66" s="8" t="s">
        <v>276</v>
      </c>
      <c r="C66" s="8" t="s">
        <v>277</v>
      </c>
      <c r="D66" s="8">
        <v>7</v>
      </c>
      <c r="E66" s="6" t="s">
        <v>286</v>
      </c>
      <c r="F66" s="8" t="s">
        <v>192</v>
      </c>
      <c r="G66" s="6" t="s">
        <v>287</v>
      </c>
      <c r="H66" s="8" t="s">
        <v>288</v>
      </c>
      <c r="I66" s="6" t="s">
        <v>289</v>
      </c>
    </row>
    <row r="67" spans="1:9" x14ac:dyDescent="0.25">
      <c r="A67" s="8" t="s">
        <v>97</v>
      </c>
      <c r="B67" s="8" t="s">
        <v>276</v>
      </c>
      <c r="C67" s="8" t="s">
        <v>277</v>
      </c>
      <c r="D67" s="8">
        <v>8</v>
      </c>
      <c r="E67" s="6" t="s">
        <v>290</v>
      </c>
      <c r="F67" s="8" t="s">
        <v>192</v>
      </c>
      <c r="G67" s="6" t="s">
        <v>291</v>
      </c>
      <c r="H67" s="8" t="s">
        <v>288</v>
      </c>
      <c r="I67" s="6" t="s">
        <v>292</v>
      </c>
    </row>
    <row r="68" spans="1:9" x14ac:dyDescent="0.25">
      <c r="A68" s="8" t="s">
        <v>97</v>
      </c>
      <c r="B68" s="8" t="s">
        <v>276</v>
      </c>
      <c r="C68" s="8" t="s">
        <v>277</v>
      </c>
      <c r="D68" s="8">
        <v>9</v>
      </c>
      <c r="E68" s="6" t="s">
        <v>293</v>
      </c>
      <c r="F68" s="8" t="s">
        <v>192</v>
      </c>
      <c r="G68" s="6" t="s">
        <v>333</v>
      </c>
      <c r="H68" s="8" t="s">
        <v>295</v>
      </c>
      <c r="I68" s="8" t="s">
        <v>192</v>
      </c>
    </row>
    <row r="69" spans="1:9" x14ac:dyDescent="0.25">
      <c r="A69" s="8" t="s">
        <v>97</v>
      </c>
      <c r="B69" s="8" t="s">
        <v>276</v>
      </c>
      <c r="C69" s="8" t="s">
        <v>277</v>
      </c>
      <c r="D69" s="8">
        <v>10</v>
      </c>
      <c r="E69" s="6" t="s">
        <v>296</v>
      </c>
      <c r="F69" s="8" t="s">
        <v>192</v>
      </c>
      <c r="G69" s="8" t="s">
        <v>192</v>
      </c>
      <c r="H69" s="6" t="s">
        <v>334</v>
      </c>
      <c r="I69" s="8" t="s">
        <v>192</v>
      </c>
    </row>
    <row r="70" spans="1:9" x14ac:dyDescent="0.25">
      <c r="A70" s="8" t="s">
        <v>97</v>
      </c>
      <c r="B70" s="8" t="s">
        <v>276</v>
      </c>
      <c r="C70" s="8" t="s">
        <v>277</v>
      </c>
      <c r="D70" s="8">
        <v>11</v>
      </c>
      <c r="E70" s="6" t="s">
        <v>298</v>
      </c>
      <c r="F70" s="8" t="s">
        <v>192</v>
      </c>
      <c r="G70" s="6" t="s">
        <v>335</v>
      </c>
      <c r="H70" s="8" t="s">
        <v>102</v>
      </c>
      <c r="I70" s="6" t="s">
        <v>300</v>
      </c>
    </row>
    <row r="71" spans="1:9" x14ac:dyDescent="0.25">
      <c r="A71" s="8" t="s">
        <v>97</v>
      </c>
      <c r="B71" s="8" t="s">
        <v>276</v>
      </c>
      <c r="C71" s="8" t="s">
        <v>336</v>
      </c>
      <c r="D71" s="8">
        <v>1</v>
      </c>
      <c r="E71" s="6" t="s">
        <v>302</v>
      </c>
      <c r="F71" s="8" t="s">
        <v>192</v>
      </c>
      <c r="G71" s="8" t="s">
        <v>337</v>
      </c>
      <c r="H71" s="6" t="s">
        <v>338</v>
      </c>
      <c r="I71" s="6" t="s">
        <v>305</v>
      </c>
    </row>
    <row r="72" spans="1:9" x14ac:dyDescent="0.25">
      <c r="A72" s="8" t="s">
        <v>97</v>
      </c>
      <c r="B72" s="8" t="s">
        <v>276</v>
      </c>
      <c r="C72" s="8" t="s">
        <v>336</v>
      </c>
      <c r="D72" s="8">
        <v>2</v>
      </c>
      <c r="E72" s="8" t="s">
        <v>306</v>
      </c>
      <c r="F72" s="8" t="s">
        <v>307</v>
      </c>
      <c r="G72" s="6" t="s">
        <v>339</v>
      </c>
      <c r="H72" s="8" t="s">
        <v>340</v>
      </c>
      <c r="I72" s="8" t="s">
        <v>192</v>
      </c>
    </row>
    <row r="73" spans="1:9" x14ac:dyDescent="0.25">
      <c r="A73" s="8" t="s">
        <v>97</v>
      </c>
      <c r="B73" s="8" t="s">
        <v>276</v>
      </c>
      <c r="C73" s="6" t="s">
        <v>341</v>
      </c>
      <c r="D73" s="8">
        <v>1</v>
      </c>
      <c r="E73" s="8" t="s">
        <v>215</v>
      </c>
      <c r="F73" s="8" t="s">
        <v>192</v>
      </c>
      <c r="G73" s="8" t="s">
        <v>192</v>
      </c>
      <c r="H73" s="6" t="s">
        <v>273</v>
      </c>
      <c r="I73" s="8" t="s">
        <v>192</v>
      </c>
    </row>
    <row r="74" spans="1:9" x14ac:dyDescent="0.25">
      <c r="A74" s="8" t="s">
        <v>97</v>
      </c>
      <c r="B74" s="8" t="s">
        <v>276</v>
      </c>
      <c r="C74" s="6" t="s">
        <v>341</v>
      </c>
      <c r="D74" s="8">
        <v>2</v>
      </c>
      <c r="E74" s="8" t="s">
        <v>217</v>
      </c>
      <c r="F74" s="8" t="s">
        <v>198</v>
      </c>
      <c r="G74" s="8" t="s">
        <v>274</v>
      </c>
      <c r="H74" s="8" t="s">
        <v>275</v>
      </c>
      <c r="I74" s="8" t="s">
        <v>192</v>
      </c>
    </row>
    <row r="75" spans="1:9" x14ac:dyDescent="0.25">
      <c r="A75" s="8" t="s">
        <v>97</v>
      </c>
      <c r="B75" s="8" t="s">
        <v>276</v>
      </c>
      <c r="C75" s="6" t="s">
        <v>341</v>
      </c>
      <c r="D75" s="8">
        <v>3</v>
      </c>
      <c r="E75" s="6" t="s">
        <v>311</v>
      </c>
      <c r="F75" s="6" t="s">
        <v>312</v>
      </c>
      <c r="G75" s="6" t="s">
        <v>342</v>
      </c>
      <c r="H75" s="8" t="s">
        <v>343</v>
      </c>
      <c r="I75" s="6" t="s">
        <v>315</v>
      </c>
    </row>
    <row r="76" spans="1:9" x14ac:dyDescent="0.25">
      <c r="A76" s="8" t="s">
        <v>99</v>
      </c>
      <c r="B76" s="8" t="s">
        <v>225</v>
      </c>
      <c r="C76" s="8" t="s">
        <v>344</v>
      </c>
      <c r="D76" s="8">
        <v>1</v>
      </c>
      <c r="E76" s="6" t="s">
        <v>227</v>
      </c>
      <c r="F76" s="8" t="s">
        <v>192</v>
      </c>
      <c r="G76" s="8" t="s">
        <v>192</v>
      </c>
      <c r="H76" s="8" t="s">
        <v>345</v>
      </c>
      <c r="I76" s="8" t="s">
        <v>192</v>
      </c>
    </row>
    <row r="77" spans="1:9" x14ac:dyDescent="0.25">
      <c r="A77" s="8" t="s">
        <v>104</v>
      </c>
      <c r="B77" s="8" t="s">
        <v>229</v>
      </c>
      <c r="C77" s="8" t="s">
        <v>230</v>
      </c>
      <c r="D77" s="8">
        <v>1</v>
      </c>
      <c r="E77" s="6" t="s">
        <v>346</v>
      </c>
      <c r="F77" s="8" t="s">
        <v>347</v>
      </c>
      <c r="G77" s="6" t="s">
        <v>348</v>
      </c>
      <c r="H77" s="8" t="s">
        <v>349</v>
      </c>
      <c r="I77" s="8" t="s">
        <v>350</v>
      </c>
    </row>
    <row r="78" spans="1:9" x14ac:dyDescent="0.25">
      <c r="A78" s="8" t="s">
        <v>104</v>
      </c>
      <c r="B78" s="8" t="s">
        <v>229</v>
      </c>
      <c r="C78" s="8" t="s">
        <v>230</v>
      </c>
      <c r="D78" s="8">
        <v>2</v>
      </c>
      <c r="E78" s="6" t="s">
        <v>351</v>
      </c>
      <c r="F78" s="6" t="s">
        <v>352</v>
      </c>
      <c r="G78" s="6" t="s">
        <v>353</v>
      </c>
      <c r="H78" s="8" t="s">
        <v>354</v>
      </c>
      <c r="I78" s="6" t="s">
        <v>355</v>
      </c>
    </row>
    <row r="79" spans="1:9" x14ac:dyDescent="0.25">
      <c r="A79" s="8" t="s">
        <v>104</v>
      </c>
      <c r="B79" s="8" t="s">
        <v>229</v>
      </c>
      <c r="C79" s="6" t="s">
        <v>356</v>
      </c>
      <c r="D79" s="8">
        <v>1</v>
      </c>
      <c r="E79" s="8" t="s">
        <v>215</v>
      </c>
      <c r="F79" s="8" t="s">
        <v>192</v>
      </c>
      <c r="G79" s="8" t="s">
        <v>192</v>
      </c>
      <c r="H79" s="6" t="s">
        <v>357</v>
      </c>
      <c r="I79" s="8" t="s">
        <v>192</v>
      </c>
    </row>
    <row r="80" spans="1:9" x14ac:dyDescent="0.25">
      <c r="A80" s="8" t="s">
        <v>104</v>
      </c>
      <c r="B80" s="8" t="s">
        <v>229</v>
      </c>
      <c r="C80" s="6" t="s">
        <v>356</v>
      </c>
      <c r="D80" s="8">
        <v>2</v>
      </c>
      <c r="E80" s="8" t="s">
        <v>217</v>
      </c>
      <c r="F80" s="8" t="s">
        <v>198</v>
      </c>
      <c r="G80" s="8" t="s">
        <v>358</v>
      </c>
      <c r="H80" s="8" t="s">
        <v>359</v>
      </c>
      <c r="I80" s="8" t="s">
        <v>192</v>
      </c>
    </row>
    <row r="81" spans="1:9" x14ac:dyDescent="0.25">
      <c r="A81" s="8" t="s">
        <v>104</v>
      </c>
      <c r="B81" s="8" t="s">
        <v>229</v>
      </c>
      <c r="C81" s="6" t="s">
        <v>356</v>
      </c>
      <c r="D81" s="8">
        <v>3</v>
      </c>
      <c r="E81" s="8" t="s">
        <v>245</v>
      </c>
      <c r="F81" s="8" t="s">
        <v>192</v>
      </c>
      <c r="G81" s="8" t="s">
        <v>192</v>
      </c>
      <c r="H81" s="8" t="s">
        <v>246</v>
      </c>
      <c r="I81" s="8" t="s">
        <v>192</v>
      </c>
    </row>
    <row r="82" spans="1:9" x14ac:dyDescent="0.25">
      <c r="A82" s="8" t="s">
        <v>109</v>
      </c>
      <c r="B82" s="8" t="s">
        <v>229</v>
      </c>
      <c r="C82" s="8" t="s">
        <v>230</v>
      </c>
      <c r="D82" s="8">
        <v>1</v>
      </c>
      <c r="E82" s="6" t="s">
        <v>346</v>
      </c>
      <c r="F82" s="8" t="s">
        <v>360</v>
      </c>
      <c r="G82" s="6" t="s">
        <v>361</v>
      </c>
      <c r="H82" s="8" t="s">
        <v>362</v>
      </c>
      <c r="I82" s="8" t="s">
        <v>363</v>
      </c>
    </row>
    <row r="83" spans="1:9" x14ac:dyDescent="0.25">
      <c r="A83" s="8" t="s">
        <v>109</v>
      </c>
      <c r="B83" s="8" t="s">
        <v>229</v>
      </c>
      <c r="C83" s="8" t="s">
        <v>230</v>
      </c>
      <c r="D83" s="8">
        <v>2</v>
      </c>
      <c r="E83" s="8" t="s">
        <v>364</v>
      </c>
      <c r="F83" s="8" t="s">
        <v>192</v>
      </c>
      <c r="G83" s="8" t="s">
        <v>192</v>
      </c>
      <c r="H83" s="8" t="s">
        <v>365</v>
      </c>
      <c r="I83" s="6" t="s">
        <v>366</v>
      </c>
    </row>
    <row r="84" spans="1:9" x14ac:dyDescent="0.25">
      <c r="A84" s="8" t="s">
        <v>109</v>
      </c>
      <c r="B84" s="8" t="s">
        <v>229</v>
      </c>
      <c r="C84" s="6" t="s">
        <v>367</v>
      </c>
      <c r="D84" s="8">
        <v>1</v>
      </c>
      <c r="E84" s="8" t="s">
        <v>215</v>
      </c>
      <c r="F84" s="8" t="s">
        <v>192</v>
      </c>
      <c r="G84" s="8" t="s">
        <v>192</v>
      </c>
      <c r="H84" s="6" t="s">
        <v>368</v>
      </c>
      <c r="I84" s="8" t="s">
        <v>192</v>
      </c>
    </row>
    <row r="85" spans="1:9" x14ac:dyDescent="0.25">
      <c r="A85" s="8" t="s">
        <v>109</v>
      </c>
      <c r="B85" s="8" t="s">
        <v>229</v>
      </c>
      <c r="C85" s="6" t="s">
        <v>367</v>
      </c>
      <c r="D85" s="8">
        <v>2</v>
      </c>
      <c r="E85" s="8" t="s">
        <v>217</v>
      </c>
      <c r="F85" s="8" t="s">
        <v>198</v>
      </c>
      <c r="G85" s="8" t="s">
        <v>369</v>
      </c>
      <c r="H85" s="8" t="s">
        <v>370</v>
      </c>
      <c r="I85" s="8" t="s">
        <v>192</v>
      </c>
    </row>
    <row r="86" spans="1:9" x14ac:dyDescent="0.25">
      <c r="A86" s="8" t="s">
        <v>109</v>
      </c>
      <c r="B86" s="8" t="s">
        <v>229</v>
      </c>
      <c r="C86" s="6" t="s">
        <v>367</v>
      </c>
      <c r="D86" s="8">
        <v>3</v>
      </c>
      <c r="E86" s="8" t="s">
        <v>245</v>
      </c>
      <c r="F86" s="8" t="s">
        <v>192</v>
      </c>
      <c r="G86" s="8" t="s">
        <v>192</v>
      </c>
      <c r="H86" s="8" t="s">
        <v>246</v>
      </c>
      <c r="I86" s="8" t="s">
        <v>192</v>
      </c>
    </row>
    <row r="87" spans="1:9" x14ac:dyDescent="0.25">
      <c r="A87" s="8" t="s">
        <v>115</v>
      </c>
      <c r="B87" s="8" t="s">
        <v>229</v>
      </c>
      <c r="C87" s="8" t="s">
        <v>230</v>
      </c>
      <c r="D87" s="8">
        <v>1</v>
      </c>
      <c r="E87" s="6" t="s">
        <v>346</v>
      </c>
      <c r="F87" s="8" t="s">
        <v>347</v>
      </c>
      <c r="G87" s="6" t="s">
        <v>371</v>
      </c>
      <c r="H87" s="8" t="s">
        <v>372</v>
      </c>
      <c r="I87" s="8" t="s">
        <v>350</v>
      </c>
    </row>
    <row r="88" spans="1:9" x14ac:dyDescent="0.25">
      <c r="A88" s="8" t="s">
        <v>115</v>
      </c>
      <c r="B88" s="8" t="s">
        <v>229</v>
      </c>
      <c r="C88" s="8" t="s">
        <v>230</v>
      </c>
      <c r="D88" s="8">
        <v>2</v>
      </c>
      <c r="E88" s="6" t="s">
        <v>351</v>
      </c>
      <c r="F88" s="6" t="s">
        <v>352</v>
      </c>
      <c r="G88" s="6" t="s">
        <v>373</v>
      </c>
      <c r="H88" s="8" t="s">
        <v>374</v>
      </c>
      <c r="I88" s="6" t="s">
        <v>355</v>
      </c>
    </row>
    <row r="89" spans="1:9" x14ac:dyDescent="0.25">
      <c r="A89" s="8" t="s">
        <v>115</v>
      </c>
      <c r="B89" s="8" t="s">
        <v>229</v>
      </c>
      <c r="C89" s="6" t="s">
        <v>375</v>
      </c>
      <c r="D89" s="8">
        <v>1</v>
      </c>
      <c r="E89" s="8" t="s">
        <v>215</v>
      </c>
      <c r="F89" s="8" t="s">
        <v>192</v>
      </c>
      <c r="G89" s="8" t="s">
        <v>192</v>
      </c>
      <c r="H89" s="6" t="s">
        <v>376</v>
      </c>
      <c r="I89" s="8" t="s">
        <v>192</v>
      </c>
    </row>
    <row r="90" spans="1:9" x14ac:dyDescent="0.25">
      <c r="A90" s="8" t="s">
        <v>115</v>
      </c>
      <c r="B90" s="8" t="s">
        <v>229</v>
      </c>
      <c r="C90" s="6" t="s">
        <v>375</v>
      </c>
      <c r="D90" s="8">
        <v>2</v>
      </c>
      <c r="E90" s="8" t="s">
        <v>217</v>
      </c>
      <c r="F90" s="8" t="s">
        <v>198</v>
      </c>
      <c r="G90" s="8" t="s">
        <v>377</v>
      </c>
      <c r="H90" s="8" t="s">
        <v>378</v>
      </c>
      <c r="I90" s="8" t="s">
        <v>192</v>
      </c>
    </row>
    <row r="91" spans="1:9" x14ac:dyDescent="0.25">
      <c r="A91" s="8" t="s">
        <v>115</v>
      </c>
      <c r="B91" s="8" t="s">
        <v>229</v>
      </c>
      <c r="C91" s="6" t="s">
        <v>375</v>
      </c>
      <c r="D91" s="8">
        <v>3</v>
      </c>
      <c r="E91" s="8" t="s">
        <v>245</v>
      </c>
      <c r="F91" s="8" t="s">
        <v>192</v>
      </c>
      <c r="G91" s="8" t="s">
        <v>192</v>
      </c>
      <c r="H91" s="8" t="s">
        <v>246</v>
      </c>
      <c r="I91" s="8" t="s">
        <v>192</v>
      </c>
    </row>
    <row r="92" spans="1:9" x14ac:dyDescent="0.25">
      <c r="A92" s="8" t="s">
        <v>93</v>
      </c>
      <c r="B92" s="8" t="s">
        <v>202</v>
      </c>
      <c r="C92" s="6" t="s">
        <v>379</v>
      </c>
      <c r="D92" s="8">
        <v>1</v>
      </c>
      <c r="E92" s="8" t="s">
        <v>204</v>
      </c>
      <c r="F92" s="6" t="s">
        <v>205</v>
      </c>
      <c r="G92" s="8" t="s">
        <v>380</v>
      </c>
      <c r="H92" s="8" t="s">
        <v>381</v>
      </c>
      <c r="I92" s="8" t="s">
        <v>192</v>
      </c>
    </row>
    <row r="93" spans="1:9" x14ac:dyDescent="0.25">
      <c r="A93" s="8" t="s">
        <v>93</v>
      </c>
      <c r="B93" s="8" t="s">
        <v>202</v>
      </c>
      <c r="C93" s="6" t="s">
        <v>379</v>
      </c>
      <c r="D93" s="8">
        <v>2</v>
      </c>
      <c r="E93" s="8" t="s">
        <v>208</v>
      </c>
      <c r="F93" s="8" t="s">
        <v>209</v>
      </c>
      <c r="G93" s="8" t="s">
        <v>382</v>
      </c>
      <c r="H93" s="8" t="s">
        <v>383</v>
      </c>
      <c r="I93" s="8" t="s">
        <v>192</v>
      </c>
    </row>
    <row r="94" spans="1:9" x14ac:dyDescent="0.25">
      <c r="A94" s="8" t="s">
        <v>93</v>
      </c>
      <c r="B94" s="8" t="s">
        <v>202</v>
      </c>
      <c r="C94" s="6" t="s">
        <v>379</v>
      </c>
      <c r="D94" s="8">
        <v>3</v>
      </c>
      <c r="E94" s="6" t="s">
        <v>212</v>
      </c>
      <c r="F94" s="8" t="s">
        <v>192</v>
      </c>
      <c r="G94" s="8" t="s">
        <v>192</v>
      </c>
      <c r="H94" s="8" t="s">
        <v>384</v>
      </c>
      <c r="I94" s="8" t="s">
        <v>192</v>
      </c>
    </row>
    <row r="95" spans="1:9" x14ac:dyDescent="0.25">
      <c r="A95" s="8" t="s">
        <v>93</v>
      </c>
      <c r="B95" s="8" t="s">
        <v>202</v>
      </c>
      <c r="C95" s="6" t="s">
        <v>385</v>
      </c>
      <c r="D95" s="8">
        <v>1</v>
      </c>
      <c r="E95" s="8" t="s">
        <v>215</v>
      </c>
      <c r="F95" s="8" t="s">
        <v>192</v>
      </c>
      <c r="G95" s="8" t="s">
        <v>192</v>
      </c>
      <c r="H95" s="6" t="s">
        <v>257</v>
      </c>
      <c r="I95" s="8" t="s">
        <v>192</v>
      </c>
    </row>
    <row r="96" spans="1:9" x14ac:dyDescent="0.25">
      <c r="A96" s="8" t="s">
        <v>93</v>
      </c>
      <c r="B96" s="8" t="s">
        <v>202</v>
      </c>
      <c r="C96" s="6" t="s">
        <v>385</v>
      </c>
      <c r="D96" s="8">
        <v>2</v>
      </c>
      <c r="E96" s="8" t="s">
        <v>217</v>
      </c>
      <c r="F96" s="8" t="s">
        <v>198</v>
      </c>
      <c r="G96" s="8" t="s">
        <v>386</v>
      </c>
      <c r="H96" s="8" t="s">
        <v>387</v>
      </c>
      <c r="I96" s="8" t="s">
        <v>192</v>
      </c>
    </row>
    <row r="97" spans="1:9" x14ac:dyDescent="0.25">
      <c r="A97" s="8" t="s">
        <v>93</v>
      </c>
      <c r="B97" s="8" t="s">
        <v>202</v>
      </c>
      <c r="C97" s="6" t="s">
        <v>385</v>
      </c>
      <c r="D97" s="8">
        <v>3</v>
      </c>
      <c r="E97" s="8" t="s">
        <v>220</v>
      </c>
      <c r="F97" s="8" t="s">
        <v>192</v>
      </c>
      <c r="G97" s="8" t="s">
        <v>192</v>
      </c>
      <c r="H97" s="8" t="s">
        <v>259</v>
      </c>
      <c r="I97" s="8" t="s">
        <v>192</v>
      </c>
    </row>
    <row r="98" spans="1:9" x14ac:dyDescent="0.25">
      <c r="A98" s="8" t="s">
        <v>93</v>
      </c>
      <c r="B98" s="8" t="s">
        <v>202</v>
      </c>
      <c r="C98" s="6" t="s">
        <v>385</v>
      </c>
      <c r="D98" s="8">
        <v>4</v>
      </c>
      <c r="E98" s="8" t="s">
        <v>221</v>
      </c>
      <c r="F98" s="6" t="s">
        <v>222</v>
      </c>
      <c r="G98" s="6" t="s">
        <v>388</v>
      </c>
      <c r="H98" s="8" t="s">
        <v>389</v>
      </c>
      <c r="I98" s="8" t="s">
        <v>192</v>
      </c>
    </row>
    <row r="99" spans="1:9" x14ac:dyDescent="0.25">
      <c r="A99" s="8" t="s">
        <v>124</v>
      </c>
      <c r="B99" s="8" t="s">
        <v>229</v>
      </c>
      <c r="C99" s="8" t="s">
        <v>230</v>
      </c>
      <c r="D99" s="8">
        <v>1</v>
      </c>
      <c r="E99" s="8" t="s">
        <v>260</v>
      </c>
      <c r="F99" s="8" t="s">
        <v>192</v>
      </c>
      <c r="G99" s="8" t="s">
        <v>192</v>
      </c>
      <c r="H99" s="6" t="s">
        <v>390</v>
      </c>
      <c r="I99" s="8" t="s">
        <v>192</v>
      </c>
    </row>
    <row r="100" spans="1:9" x14ac:dyDescent="0.25">
      <c r="A100" s="8" t="s">
        <v>124</v>
      </c>
      <c r="B100" s="8" t="s">
        <v>229</v>
      </c>
      <c r="C100" s="8" t="s">
        <v>230</v>
      </c>
      <c r="D100" s="8">
        <v>2</v>
      </c>
      <c r="E100" s="8" t="s">
        <v>264</v>
      </c>
      <c r="F100" s="6" t="s">
        <v>265</v>
      </c>
      <c r="G100" s="8" t="s">
        <v>391</v>
      </c>
      <c r="H100" s="8" t="s">
        <v>392</v>
      </c>
      <c r="I100" s="8" t="s">
        <v>393</v>
      </c>
    </row>
    <row r="101" spans="1:9" x14ac:dyDescent="0.25">
      <c r="A101" s="8" t="s">
        <v>124</v>
      </c>
      <c r="B101" s="8" t="s">
        <v>229</v>
      </c>
      <c r="C101" s="8" t="s">
        <v>230</v>
      </c>
      <c r="D101" s="8">
        <v>3</v>
      </c>
      <c r="E101" s="8" t="s">
        <v>67</v>
      </c>
      <c r="F101" s="6" t="s">
        <v>269</v>
      </c>
      <c r="G101" s="8" t="s">
        <v>192</v>
      </c>
      <c r="H101" s="8" t="s">
        <v>394</v>
      </c>
      <c r="I101" s="6" t="s">
        <v>395</v>
      </c>
    </row>
    <row r="102" spans="1:9" x14ac:dyDescent="0.25">
      <c r="A102" s="8" t="s">
        <v>124</v>
      </c>
      <c r="B102" s="8" t="s">
        <v>229</v>
      </c>
      <c r="C102" s="6" t="s">
        <v>396</v>
      </c>
      <c r="D102" s="8">
        <v>1</v>
      </c>
      <c r="E102" s="8" t="s">
        <v>215</v>
      </c>
      <c r="F102" s="8" t="s">
        <v>192</v>
      </c>
      <c r="G102" s="8" t="s">
        <v>192</v>
      </c>
      <c r="H102" s="6" t="s">
        <v>397</v>
      </c>
      <c r="I102" s="8" t="s">
        <v>192</v>
      </c>
    </row>
    <row r="103" spans="1:9" x14ac:dyDescent="0.25">
      <c r="A103" s="8" t="s">
        <v>124</v>
      </c>
      <c r="B103" s="8" t="s">
        <v>229</v>
      </c>
      <c r="C103" s="6" t="s">
        <v>396</v>
      </c>
      <c r="D103" s="8">
        <v>2</v>
      </c>
      <c r="E103" s="8" t="s">
        <v>217</v>
      </c>
      <c r="F103" s="8" t="s">
        <v>398</v>
      </c>
      <c r="G103" s="8" t="s">
        <v>399</v>
      </c>
      <c r="H103" s="8" t="s">
        <v>400</v>
      </c>
      <c r="I103" s="8" t="s">
        <v>192</v>
      </c>
    </row>
    <row r="104" spans="1:9" x14ac:dyDescent="0.25">
      <c r="A104" s="8" t="s">
        <v>124</v>
      </c>
      <c r="B104" s="8" t="s">
        <v>229</v>
      </c>
      <c r="C104" s="6" t="s">
        <v>396</v>
      </c>
      <c r="D104" s="8">
        <v>3</v>
      </c>
      <c r="E104" s="8" t="s">
        <v>245</v>
      </c>
      <c r="F104" s="8" t="s">
        <v>192</v>
      </c>
      <c r="G104" s="8" t="s">
        <v>192</v>
      </c>
      <c r="H104" s="8" t="s">
        <v>246</v>
      </c>
      <c r="I104" s="8" t="s">
        <v>192</v>
      </c>
    </row>
    <row r="105" spans="1:9" x14ac:dyDescent="0.25">
      <c r="A105" s="8" t="s">
        <v>128</v>
      </c>
      <c r="B105" s="8" t="s">
        <v>229</v>
      </c>
      <c r="C105" s="8" t="s">
        <v>230</v>
      </c>
      <c r="D105" s="8">
        <v>1</v>
      </c>
      <c r="E105" s="8" t="s">
        <v>262</v>
      </c>
      <c r="F105" s="8" t="s">
        <v>192</v>
      </c>
      <c r="G105" s="8" t="s">
        <v>192</v>
      </c>
      <c r="H105" s="6" t="s">
        <v>263</v>
      </c>
      <c r="I105" s="8" t="s">
        <v>192</v>
      </c>
    </row>
    <row r="106" spans="1:9" x14ac:dyDescent="0.25">
      <c r="A106" s="8" t="s">
        <v>128</v>
      </c>
      <c r="B106" s="8" t="s">
        <v>229</v>
      </c>
      <c r="C106" s="8" t="s">
        <v>230</v>
      </c>
      <c r="D106" s="8">
        <v>2</v>
      </c>
      <c r="E106" s="8" t="s">
        <v>264</v>
      </c>
      <c r="F106" s="6" t="s">
        <v>265</v>
      </c>
      <c r="G106" s="8" t="s">
        <v>401</v>
      </c>
      <c r="H106" s="8" t="s">
        <v>402</v>
      </c>
      <c r="I106" s="8" t="s">
        <v>393</v>
      </c>
    </row>
    <row r="107" spans="1:9" x14ac:dyDescent="0.25">
      <c r="A107" s="8" t="s">
        <v>128</v>
      </c>
      <c r="B107" s="8" t="s">
        <v>229</v>
      </c>
      <c r="C107" s="8" t="s">
        <v>230</v>
      </c>
      <c r="D107" s="8">
        <v>3</v>
      </c>
      <c r="E107" s="8" t="s">
        <v>67</v>
      </c>
      <c r="F107" s="6" t="s">
        <v>269</v>
      </c>
      <c r="G107" s="8" t="s">
        <v>192</v>
      </c>
      <c r="H107" s="8" t="s">
        <v>403</v>
      </c>
      <c r="I107" s="6" t="s">
        <v>395</v>
      </c>
    </row>
    <row r="108" spans="1:9" x14ac:dyDescent="0.25">
      <c r="A108" s="8" t="s">
        <v>128</v>
      </c>
      <c r="B108" s="8" t="s">
        <v>229</v>
      </c>
      <c r="C108" s="6" t="s">
        <v>404</v>
      </c>
      <c r="D108" s="8">
        <v>1</v>
      </c>
      <c r="E108" s="8" t="s">
        <v>215</v>
      </c>
      <c r="F108" s="8" t="s">
        <v>192</v>
      </c>
      <c r="G108" s="8" t="s">
        <v>192</v>
      </c>
      <c r="H108" s="6" t="s">
        <v>405</v>
      </c>
      <c r="I108" s="8" t="s">
        <v>192</v>
      </c>
    </row>
    <row r="109" spans="1:9" x14ac:dyDescent="0.25">
      <c r="A109" s="8" t="s">
        <v>128</v>
      </c>
      <c r="B109" s="8" t="s">
        <v>229</v>
      </c>
      <c r="C109" s="6" t="s">
        <v>404</v>
      </c>
      <c r="D109" s="8">
        <v>2</v>
      </c>
      <c r="E109" s="8" t="s">
        <v>217</v>
      </c>
      <c r="F109" s="8" t="s">
        <v>198</v>
      </c>
      <c r="G109" s="8" t="s">
        <v>406</v>
      </c>
      <c r="H109" s="8" t="s">
        <v>402</v>
      </c>
      <c r="I109" s="8" t="s">
        <v>192</v>
      </c>
    </row>
    <row r="110" spans="1:9" x14ac:dyDescent="0.25">
      <c r="A110" s="8" t="s">
        <v>128</v>
      </c>
      <c r="B110" s="8" t="s">
        <v>229</v>
      </c>
      <c r="C110" s="6" t="s">
        <v>404</v>
      </c>
      <c r="D110" s="8">
        <v>3</v>
      </c>
      <c r="E110" s="8" t="s">
        <v>245</v>
      </c>
      <c r="F110" s="8" t="s">
        <v>192</v>
      </c>
      <c r="G110" s="8" t="s">
        <v>192</v>
      </c>
      <c r="H110" s="8" t="s">
        <v>246</v>
      </c>
      <c r="I110" s="8" t="s">
        <v>192</v>
      </c>
    </row>
    <row r="111" spans="1:9" x14ac:dyDescent="0.25">
      <c r="A111" s="8" t="s">
        <v>103</v>
      </c>
      <c r="B111" s="8" t="s">
        <v>276</v>
      </c>
      <c r="C111" s="8" t="s">
        <v>277</v>
      </c>
      <c r="D111" s="8">
        <v>1</v>
      </c>
      <c r="E111" s="6" t="s">
        <v>346</v>
      </c>
      <c r="F111" s="8" t="s">
        <v>347</v>
      </c>
      <c r="G111" s="6" t="s">
        <v>348</v>
      </c>
      <c r="H111" s="8" t="s">
        <v>349</v>
      </c>
      <c r="I111" s="8" t="s">
        <v>350</v>
      </c>
    </row>
    <row r="112" spans="1:9" x14ac:dyDescent="0.25">
      <c r="A112" s="8" t="s">
        <v>103</v>
      </c>
      <c r="B112" s="8" t="s">
        <v>276</v>
      </c>
      <c r="C112" s="8" t="s">
        <v>277</v>
      </c>
      <c r="D112" s="8">
        <v>2</v>
      </c>
      <c r="E112" s="6" t="s">
        <v>351</v>
      </c>
      <c r="F112" s="6" t="s">
        <v>352</v>
      </c>
      <c r="G112" s="6" t="s">
        <v>353</v>
      </c>
      <c r="H112" s="8" t="s">
        <v>354</v>
      </c>
      <c r="I112" s="6" t="s">
        <v>355</v>
      </c>
    </row>
    <row r="113" spans="1:9" x14ac:dyDescent="0.25">
      <c r="A113" s="8" t="s">
        <v>103</v>
      </c>
      <c r="B113" s="8" t="s">
        <v>276</v>
      </c>
      <c r="C113" s="8" t="s">
        <v>277</v>
      </c>
      <c r="D113" s="8">
        <v>3</v>
      </c>
      <c r="E113" s="6" t="s">
        <v>278</v>
      </c>
      <c r="F113" s="8" t="s">
        <v>192</v>
      </c>
      <c r="G113" s="6" t="s">
        <v>279</v>
      </c>
      <c r="H113" s="8" t="s">
        <v>280</v>
      </c>
      <c r="I113" s="6" t="s">
        <v>281</v>
      </c>
    </row>
    <row r="114" spans="1:9" x14ac:dyDescent="0.25">
      <c r="A114" s="8" t="s">
        <v>103</v>
      </c>
      <c r="B114" s="8" t="s">
        <v>276</v>
      </c>
      <c r="C114" s="8" t="s">
        <v>277</v>
      </c>
      <c r="D114" s="8">
        <v>4</v>
      </c>
      <c r="E114" s="8" t="s">
        <v>282</v>
      </c>
      <c r="F114" s="8" t="s">
        <v>192</v>
      </c>
      <c r="G114" s="6" t="s">
        <v>407</v>
      </c>
      <c r="H114" s="8" t="s">
        <v>284</v>
      </c>
      <c r="I114" s="8" t="s">
        <v>285</v>
      </c>
    </row>
    <row r="115" spans="1:9" x14ac:dyDescent="0.25">
      <c r="A115" s="8" t="s">
        <v>103</v>
      </c>
      <c r="B115" s="8" t="s">
        <v>276</v>
      </c>
      <c r="C115" s="8" t="s">
        <v>277</v>
      </c>
      <c r="D115" s="8">
        <v>5</v>
      </c>
      <c r="E115" s="6" t="s">
        <v>286</v>
      </c>
      <c r="F115" s="8" t="s">
        <v>192</v>
      </c>
      <c r="G115" s="6" t="s">
        <v>287</v>
      </c>
      <c r="H115" s="8" t="s">
        <v>288</v>
      </c>
      <c r="I115" s="6" t="s">
        <v>289</v>
      </c>
    </row>
    <row r="116" spans="1:9" x14ac:dyDescent="0.25">
      <c r="A116" s="8" t="s">
        <v>103</v>
      </c>
      <c r="B116" s="8" t="s">
        <v>276</v>
      </c>
      <c r="C116" s="8" t="s">
        <v>277</v>
      </c>
      <c r="D116" s="8">
        <v>6</v>
      </c>
      <c r="E116" s="6" t="s">
        <v>290</v>
      </c>
      <c r="F116" s="8" t="s">
        <v>192</v>
      </c>
      <c r="G116" s="6" t="s">
        <v>291</v>
      </c>
      <c r="H116" s="8" t="s">
        <v>288</v>
      </c>
      <c r="I116" s="6" t="s">
        <v>292</v>
      </c>
    </row>
    <row r="117" spans="1:9" x14ac:dyDescent="0.25">
      <c r="A117" s="8" t="s">
        <v>103</v>
      </c>
      <c r="B117" s="8" t="s">
        <v>276</v>
      </c>
      <c r="C117" s="8" t="s">
        <v>277</v>
      </c>
      <c r="D117" s="8">
        <v>7</v>
      </c>
      <c r="E117" s="6" t="s">
        <v>293</v>
      </c>
      <c r="F117" s="8" t="s">
        <v>192</v>
      </c>
      <c r="G117" s="6" t="s">
        <v>408</v>
      </c>
      <c r="H117" s="8" t="s">
        <v>295</v>
      </c>
      <c r="I117" s="8" t="s">
        <v>192</v>
      </c>
    </row>
    <row r="118" spans="1:9" x14ac:dyDescent="0.25">
      <c r="A118" s="8" t="s">
        <v>103</v>
      </c>
      <c r="B118" s="8" t="s">
        <v>276</v>
      </c>
      <c r="C118" s="8" t="s">
        <v>277</v>
      </c>
      <c r="D118" s="8">
        <v>8</v>
      </c>
      <c r="E118" s="6" t="s">
        <v>296</v>
      </c>
      <c r="F118" s="8" t="s">
        <v>192</v>
      </c>
      <c r="G118" s="8" t="s">
        <v>192</v>
      </c>
      <c r="H118" s="6" t="s">
        <v>409</v>
      </c>
      <c r="I118" s="8" t="s">
        <v>192</v>
      </c>
    </row>
    <row r="119" spans="1:9" x14ac:dyDescent="0.25">
      <c r="A119" s="8" t="s">
        <v>103</v>
      </c>
      <c r="B119" s="8" t="s">
        <v>276</v>
      </c>
      <c r="C119" s="8" t="s">
        <v>277</v>
      </c>
      <c r="D119" s="8">
        <v>9</v>
      </c>
      <c r="E119" s="6" t="s">
        <v>298</v>
      </c>
      <c r="F119" s="8" t="s">
        <v>192</v>
      </c>
      <c r="G119" s="8" t="s">
        <v>410</v>
      </c>
      <c r="H119" s="8" t="s">
        <v>96</v>
      </c>
      <c r="I119" s="6" t="s">
        <v>411</v>
      </c>
    </row>
    <row r="120" spans="1:9" x14ac:dyDescent="0.25">
      <c r="A120" s="8" t="s">
        <v>103</v>
      </c>
      <c r="B120" s="8" t="s">
        <v>276</v>
      </c>
      <c r="C120" s="6" t="s">
        <v>412</v>
      </c>
      <c r="D120" s="8">
        <v>1</v>
      </c>
      <c r="E120" s="6" t="s">
        <v>302</v>
      </c>
      <c r="F120" s="8" t="s">
        <v>192</v>
      </c>
      <c r="G120" s="8" t="s">
        <v>413</v>
      </c>
      <c r="H120" s="6" t="s">
        <v>414</v>
      </c>
      <c r="I120" s="6" t="s">
        <v>305</v>
      </c>
    </row>
    <row r="121" spans="1:9" x14ac:dyDescent="0.25">
      <c r="A121" s="8" t="s">
        <v>103</v>
      </c>
      <c r="B121" s="8" t="s">
        <v>276</v>
      </c>
      <c r="C121" s="6" t="s">
        <v>412</v>
      </c>
      <c r="D121" s="8">
        <v>2</v>
      </c>
      <c r="E121" s="8" t="s">
        <v>306</v>
      </c>
      <c r="F121" s="8" t="s">
        <v>307</v>
      </c>
      <c r="G121" s="6" t="s">
        <v>415</v>
      </c>
      <c r="H121" s="8" t="s">
        <v>416</v>
      </c>
      <c r="I121" s="8" t="s">
        <v>192</v>
      </c>
    </row>
    <row r="122" spans="1:9" x14ac:dyDescent="0.25">
      <c r="A122" s="8" t="s">
        <v>103</v>
      </c>
      <c r="B122" s="8" t="s">
        <v>276</v>
      </c>
      <c r="C122" s="6" t="s">
        <v>417</v>
      </c>
      <c r="D122" s="8">
        <v>1</v>
      </c>
      <c r="E122" s="8" t="s">
        <v>215</v>
      </c>
      <c r="F122" s="8" t="s">
        <v>192</v>
      </c>
      <c r="G122" s="8" t="s">
        <v>192</v>
      </c>
      <c r="H122" s="6" t="s">
        <v>357</v>
      </c>
      <c r="I122" s="8" t="s">
        <v>192</v>
      </c>
    </row>
    <row r="123" spans="1:9" x14ac:dyDescent="0.25">
      <c r="A123" s="8" t="s">
        <v>103</v>
      </c>
      <c r="B123" s="8" t="s">
        <v>276</v>
      </c>
      <c r="C123" s="6" t="s">
        <v>417</v>
      </c>
      <c r="D123" s="8">
        <v>2</v>
      </c>
      <c r="E123" s="8" t="s">
        <v>217</v>
      </c>
      <c r="F123" s="8" t="s">
        <v>198</v>
      </c>
      <c r="G123" s="8" t="s">
        <v>358</v>
      </c>
      <c r="H123" s="8" t="s">
        <v>359</v>
      </c>
      <c r="I123" s="8" t="s">
        <v>192</v>
      </c>
    </row>
    <row r="124" spans="1:9" x14ac:dyDescent="0.25">
      <c r="A124" s="8" t="s">
        <v>103</v>
      </c>
      <c r="B124" s="8" t="s">
        <v>276</v>
      </c>
      <c r="C124" s="6" t="s">
        <v>417</v>
      </c>
      <c r="D124" s="8">
        <v>3</v>
      </c>
      <c r="E124" s="6" t="s">
        <v>311</v>
      </c>
      <c r="F124" s="6" t="s">
        <v>312</v>
      </c>
      <c r="G124" s="6" t="s">
        <v>418</v>
      </c>
      <c r="H124" s="8" t="s">
        <v>419</v>
      </c>
      <c r="I124" s="6" t="s">
        <v>315</v>
      </c>
    </row>
    <row r="125" spans="1:9" x14ac:dyDescent="0.25">
      <c r="A125" s="8" t="s">
        <v>105</v>
      </c>
      <c r="B125" s="8" t="s">
        <v>420</v>
      </c>
      <c r="C125" s="8" t="s">
        <v>421</v>
      </c>
      <c r="D125" s="8">
        <v>1</v>
      </c>
      <c r="E125" s="6" t="s">
        <v>422</v>
      </c>
      <c r="F125" s="8" t="s">
        <v>192</v>
      </c>
      <c r="G125" s="6" t="s">
        <v>423</v>
      </c>
      <c r="H125" s="8" t="s">
        <v>424</v>
      </c>
      <c r="I125" s="6" t="s">
        <v>425</v>
      </c>
    </row>
    <row r="126" spans="1:9" x14ac:dyDescent="0.25">
      <c r="A126" s="8" t="s">
        <v>105</v>
      </c>
      <c r="B126" s="8" t="s">
        <v>420</v>
      </c>
      <c r="C126" s="8" t="s">
        <v>421</v>
      </c>
      <c r="D126" s="8">
        <v>2</v>
      </c>
      <c r="E126" s="6" t="s">
        <v>426</v>
      </c>
      <c r="F126" s="8" t="s">
        <v>427</v>
      </c>
      <c r="G126" s="8" t="s">
        <v>428</v>
      </c>
      <c r="H126" s="8" t="s">
        <v>429</v>
      </c>
      <c r="I126" s="8" t="s">
        <v>192</v>
      </c>
    </row>
    <row r="127" spans="1:9" x14ac:dyDescent="0.25">
      <c r="A127" s="8" t="s">
        <v>105</v>
      </c>
      <c r="B127" s="8" t="s">
        <v>420</v>
      </c>
      <c r="C127" s="8" t="s">
        <v>421</v>
      </c>
      <c r="D127" s="8">
        <v>3</v>
      </c>
      <c r="E127" s="8" t="s">
        <v>430</v>
      </c>
      <c r="F127" s="6" t="s">
        <v>431</v>
      </c>
      <c r="G127" s="6" t="s">
        <v>432</v>
      </c>
      <c r="H127" s="6" t="s">
        <v>433</v>
      </c>
      <c r="I127" s="8" t="s">
        <v>192</v>
      </c>
    </row>
    <row r="128" spans="1:9" x14ac:dyDescent="0.25">
      <c r="A128" s="8" t="s">
        <v>105</v>
      </c>
      <c r="B128" s="8" t="s">
        <v>420</v>
      </c>
      <c r="C128" s="6" t="s">
        <v>434</v>
      </c>
      <c r="D128" s="8">
        <v>1</v>
      </c>
      <c r="E128" s="8" t="s">
        <v>435</v>
      </c>
      <c r="F128" s="8" t="s">
        <v>198</v>
      </c>
      <c r="G128" s="8" t="s">
        <v>358</v>
      </c>
      <c r="H128" s="8" t="s">
        <v>359</v>
      </c>
      <c r="I128" s="8" t="s">
        <v>192</v>
      </c>
    </row>
    <row r="129" spans="1:9" x14ac:dyDescent="0.25">
      <c r="A129" s="8" t="s">
        <v>105</v>
      </c>
      <c r="B129" s="8" t="s">
        <v>420</v>
      </c>
      <c r="C129" s="6" t="s">
        <v>434</v>
      </c>
      <c r="D129" s="8">
        <v>2</v>
      </c>
      <c r="E129" s="8" t="s">
        <v>436</v>
      </c>
      <c r="F129" s="8" t="s">
        <v>192</v>
      </c>
      <c r="G129" s="8" t="s">
        <v>192</v>
      </c>
      <c r="H129" s="6" t="s">
        <v>437</v>
      </c>
      <c r="I129" s="8" t="s">
        <v>192</v>
      </c>
    </row>
    <row r="130" spans="1:9" x14ac:dyDescent="0.25">
      <c r="A130" s="8" t="s">
        <v>105</v>
      </c>
      <c r="B130" s="8" t="s">
        <v>420</v>
      </c>
      <c r="C130" s="6" t="s">
        <v>434</v>
      </c>
      <c r="D130" s="8">
        <v>3</v>
      </c>
      <c r="E130" s="6" t="s">
        <v>438</v>
      </c>
      <c r="F130" s="8" t="s">
        <v>192</v>
      </c>
      <c r="G130" s="8" t="s">
        <v>192</v>
      </c>
      <c r="H130" s="8" t="s">
        <v>439</v>
      </c>
      <c r="I130" s="8" t="s">
        <v>192</v>
      </c>
    </row>
    <row r="131" spans="1:9" x14ac:dyDescent="0.25">
      <c r="A131" s="8" t="s">
        <v>108</v>
      </c>
      <c r="B131" s="8" t="s">
        <v>276</v>
      </c>
      <c r="C131" s="8" t="s">
        <v>277</v>
      </c>
      <c r="D131" s="8">
        <v>1</v>
      </c>
      <c r="E131" s="6" t="s">
        <v>346</v>
      </c>
      <c r="F131" s="8" t="s">
        <v>360</v>
      </c>
      <c r="G131" s="6" t="s">
        <v>361</v>
      </c>
      <c r="H131" s="8" t="s">
        <v>362</v>
      </c>
      <c r="I131" s="8" t="s">
        <v>363</v>
      </c>
    </row>
    <row r="132" spans="1:9" x14ac:dyDescent="0.25">
      <c r="A132" s="8" t="s">
        <v>108</v>
      </c>
      <c r="B132" s="8" t="s">
        <v>276</v>
      </c>
      <c r="C132" s="8" t="s">
        <v>277</v>
      </c>
      <c r="D132" s="8">
        <v>2</v>
      </c>
      <c r="E132" s="8" t="s">
        <v>364</v>
      </c>
      <c r="F132" s="8" t="s">
        <v>192</v>
      </c>
      <c r="G132" s="8" t="s">
        <v>192</v>
      </c>
      <c r="H132" s="8" t="s">
        <v>365</v>
      </c>
      <c r="I132" s="6" t="s">
        <v>366</v>
      </c>
    </row>
    <row r="133" spans="1:9" x14ac:dyDescent="0.25">
      <c r="A133" s="8" t="s">
        <v>108</v>
      </c>
      <c r="B133" s="8" t="s">
        <v>276</v>
      </c>
      <c r="C133" s="8" t="s">
        <v>277</v>
      </c>
      <c r="D133" s="8">
        <v>3</v>
      </c>
      <c r="E133" s="6" t="s">
        <v>278</v>
      </c>
      <c r="F133" s="8" t="s">
        <v>192</v>
      </c>
      <c r="G133" s="6" t="s">
        <v>279</v>
      </c>
      <c r="H133" s="8" t="s">
        <v>280</v>
      </c>
      <c r="I133" s="6" t="s">
        <v>281</v>
      </c>
    </row>
    <row r="134" spans="1:9" x14ac:dyDescent="0.25">
      <c r="A134" s="8" t="s">
        <v>108</v>
      </c>
      <c r="B134" s="8" t="s">
        <v>276</v>
      </c>
      <c r="C134" s="8" t="s">
        <v>277</v>
      </c>
      <c r="D134" s="8">
        <v>4</v>
      </c>
      <c r="E134" s="8" t="s">
        <v>282</v>
      </c>
      <c r="F134" s="8" t="s">
        <v>192</v>
      </c>
      <c r="G134" s="6" t="s">
        <v>440</v>
      </c>
      <c r="H134" s="8" t="s">
        <v>332</v>
      </c>
      <c r="I134" s="8" t="s">
        <v>285</v>
      </c>
    </row>
    <row r="135" spans="1:9" x14ac:dyDescent="0.25">
      <c r="A135" s="8" t="s">
        <v>108</v>
      </c>
      <c r="B135" s="8" t="s">
        <v>276</v>
      </c>
      <c r="C135" s="8" t="s">
        <v>277</v>
      </c>
      <c r="D135" s="8">
        <v>5</v>
      </c>
      <c r="E135" s="6" t="s">
        <v>286</v>
      </c>
      <c r="F135" s="8" t="s">
        <v>192</v>
      </c>
      <c r="G135" s="6" t="s">
        <v>287</v>
      </c>
      <c r="H135" s="8" t="s">
        <v>288</v>
      </c>
      <c r="I135" s="6" t="s">
        <v>289</v>
      </c>
    </row>
    <row r="136" spans="1:9" x14ac:dyDescent="0.25">
      <c r="A136" s="8" t="s">
        <v>108</v>
      </c>
      <c r="B136" s="8" t="s">
        <v>276</v>
      </c>
      <c r="C136" s="8" t="s">
        <v>277</v>
      </c>
      <c r="D136" s="8">
        <v>6</v>
      </c>
      <c r="E136" s="6" t="s">
        <v>290</v>
      </c>
      <c r="F136" s="8" t="s">
        <v>192</v>
      </c>
      <c r="G136" s="6" t="s">
        <v>291</v>
      </c>
      <c r="H136" s="8" t="s">
        <v>288</v>
      </c>
      <c r="I136" s="6" t="s">
        <v>292</v>
      </c>
    </row>
    <row r="137" spans="1:9" x14ac:dyDescent="0.25">
      <c r="A137" s="8" t="s">
        <v>108</v>
      </c>
      <c r="B137" s="8" t="s">
        <v>276</v>
      </c>
      <c r="C137" s="8" t="s">
        <v>277</v>
      </c>
      <c r="D137" s="8">
        <v>7</v>
      </c>
      <c r="E137" s="6" t="s">
        <v>293</v>
      </c>
      <c r="F137" s="8" t="s">
        <v>192</v>
      </c>
      <c r="G137" s="6" t="s">
        <v>441</v>
      </c>
      <c r="H137" s="8" t="s">
        <v>295</v>
      </c>
      <c r="I137" s="8" t="s">
        <v>192</v>
      </c>
    </row>
    <row r="138" spans="1:9" x14ac:dyDescent="0.25">
      <c r="A138" s="8" t="s">
        <v>108</v>
      </c>
      <c r="B138" s="8" t="s">
        <v>276</v>
      </c>
      <c r="C138" s="8" t="s">
        <v>277</v>
      </c>
      <c r="D138" s="8">
        <v>8</v>
      </c>
      <c r="E138" s="6" t="s">
        <v>296</v>
      </c>
      <c r="F138" s="8" t="s">
        <v>192</v>
      </c>
      <c r="G138" s="8" t="s">
        <v>192</v>
      </c>
      <c r="H138" s="6" t="s">
        <v>442</v>
      </c>
      <c r="I138" s="8" t="s">
        <v>192</v>
      </c>
    </row>
    <row r="139" spans="1:9" x14ac:dyDescent="0.25">
      <c r="A139" s="8" t="s">
        <v>108</v>
      </c>
      <c r="B139" s="8" t="s">
        <v>276</v>
      </c>
      <c r="C139" s="8" t="s">
        <v>277</v>
      </c>
      <c r="D139" s="8">
        <v>9</v>
      </c>
      <c r="E139" s="6" t="s">
        <v>298</v>
      </c>
      <c r="F139" s="8" t="s">
        <v>192</v>
      </c>
      <c r="G139" s="8" t="s">
        <v>443</v>
      </c>
      <c r="H139" s="8" t="s">
        <v>113</v>
      </c>
      <c r="I139" s="6" t="s">
        <v>300</v>
      </c>
    </row>
    <row r="140" spans="1:9" x14ac:dyDescent="0.25">
      <c r="A140" s="8" t="s">
        <v>108</v>
      </c>
      <c r="B140" s="8" t="s">
        <v>276</v>
      </c>
      <c r="C140" s="6" t="s">
        <v>444</v>
      </c>
      <c r="D140" s="8">
        <v>1</v>
      </c>
      <c r="E140" s="6" t="s">
        <v>302</v>
      </c>
      <c r="F140" s="8" t="s">
        <v>192</v>
      </c>
      <c r="G140" s="8" t="s">
        <v>445</v>
      </c>
      <c r="H140" s="6" t="s">
        <v>446</v>
      </c>
      <c r="I140" s="6" t="s">
        <v>305</v>
      </c>
    </row>
    <row r="141" spans="1:9" x14ac:dyDescent="0.25">
      <c r="A141" s="8" t="s">
        <v>108</v>
      </c>
      <c r="B141" s="8" t="s">
        <v>276</v>
      </c>
      <c r="C141" s="6" t="s">
        <v>444</v>
      </c>
      <c r="D141" s="8">
        <v>2</v>
      </c>
      <c r="E141" s="8" t="s">
        <v>306</v>
      </c>
      <c r="F141" s="8" t="s">
        <v>307</v>
      </c>
      <c r="G141" s="6" t="s">
        <v>447</v>
      </c>
      <c r="H141" s="8" t="s">
        <v>448</v>
      </c>
      <c r="I141" s="8" t="s">
        <v>192</v>
      </c>
    </row>
    <row r="142" spans="1:9" x14ac:dyDescent="0.25">
      <c r="A142" s="8" t="s">
        <v>108</v>
      </c>
      <c r="B142" s="8" t="s">
        <v>276</v>
      </c>
      <c r="C142" s="6" t="s">
        <v>449</v>
      </c>
      <c r="D142" s="8">
        <v>1</v>
      </c>
      <c r="E142" s="8" t="s">
        <v>215</v>
      </c>
      <c r="F142" s="8" t="s">
        <v>192</v>
      </c>
      <c r="G142" s="8" t="s">
        <v>192</v>
      </c>
      <c r="H142" s="6" t="s">
        <v>368</v>
      </c>
      <c r="I142" s="8" t="s">
        <v>192</v>
      </c>
    </row>
    <row r="143" spans="1:9" x14ac:dyDescent="0.25">
      <c r="A143" s="8" t="s">
        <v>108</v>
      </c>
      <c r="B143" s="8" t="s">
        <v>276</v>
      </c>
      <c r="C143" s="6" t="s">
        <v>449</v>
      </c>
      <c r="D143" s="8">
        <v>2</v>
      </c>
      <c r="E143" s="8" t="s">
        <v>217</v>
      </c>
      <c r="F143" s="8" t="s">
        <v>198</v>
      </c>
      <c r="G143" s="8" t="s">
        <v>369</v>
      </c>
      <c r="H143" s="8" t="s">
        <v>370</v>
      </c>
      <c r="I143" s="8" t="s">
        <v>192</v>
      </c>
    </row>
    <row r="144" spans="1:9" x14ac:dyDescent="0.25">
      <c r="A144" s="8" t="s">
        <v>108</v>
      </c>
      <c r="B144" s="8" t="s">
        <v>276</v>
      </c>
      <c r="C144" s="6" t="s">
        <v>449</v>
      </c>
      <c r="D144" s="8">
        <v>3</v>
      </c>
      <c r="E144" s="6" t="s">
        <v>311</v>
      </c>
      <c r="F144" s="6" t="s">
        <v>312</v>
      </c>
      <c r="G144" s="6" t="s">
        <v>450</v>
      </c>
      <c r="H144" s="8" t="s">
        <v>451</v>
      </c>
      <c r="I144" s="6" t="s">
        <v>315</v>
      </c>
    </row>
    <row r="145" spans="1:9" x14ac:dyDescent="0.25">
      <c r="A145" s="8" t="s">
        <v>114</v>
      </c>
      <c r="B145" s="8" t="s">
        <v>276</v>
      </c>
      <c r="C145" s="8" t="s">
        <v>277</v>
      </c>
      <c r="D145" s="8">
        <v>1</v>
      </c>
      <c r="E145" s="6" t="s">
        <v>346</v>
      </c>
      <c r="F145" s="8" t="s">
        <v>347</v>
      </c>
      <c r="G145" s="6" t="s">
        <v>371</v>
      </c>
      <c r="H145" s="8" t="s">
        <v>372</v>
      </c>
      <c r="I145" s="8" t="s">
        <v>350</v>
      </c>
    </row>
    <row r="146" spans="1:9" x14ac:dyDescent="0.25">
      <c r="A146" s="8" t="s">
        <v>114</v>
      </c>
      <c r="B146" s="8" t="s">
        <v>276</v>
      </c>
      <c r="C146" s="8" t="s">
        <v>277</v>
      </c>
      <c r="D146" s="8">
        <v>2</v>
      </c>
      <c r="E146" s="6" t="s">
        <v>351</v>
      </c>
      <c r="F146" s="6" t="s">
        <v>352</v>
      </c>
      <c r="G146" s="6" t="s">
        <v>373</v>
      </c>
      <c r="H146" s="8" t="s">
        <v>374</v>
      </c>
      <c r="I146" s="6" t="s">
        <v>355</v>
      </c>
    </row>
    <row r="147" spans="1:9" x14ac:dyDescent="0.25">
      <c r="A147" s="8" t="s">
        <v>114</v>
      </c>
      <c r="B147" s="8" t="s">
        <v>276</v>
      </c>
      <c r="C147" s="8" t="s">
        <v>277</v>
      </c>
      <c r="D147" s="8">
        <v>3</v>
      </c>
      <c r="E147" s="6" t="s">
        <v>278</v>
      </c>
      <c r="F147" s="8" t="s">
        <v>192</v>
      </c>
      <c r="G147" s="6" t="s">
        <v>279</v>
      </c>
      <c r="H147" s="8" t="s">
        <v>280</v>
      </c>
      <c r="I147" s="6" t="s">
        <v>281</v>
      </c>
    </row>
    <row r="148" spans="1:9" x14ac:dyDescent="0.25">
      <c r="A148" s="8" t="s">
        <v>114</v>
      </c>
      <c r="B148" s="8" t="s">
        <v>276</v>
      </c>
      <c r="C148" s="8" t="s">
        <v>277</v>
      </c>
      <c r="D148" s="8">
        <v>4</v>
      </c>
      <c r="E148" s="8" t="s">
        <v>282</v>
      </c>
      <c r="F148" s="8" t="s">
        <v>192</v>
      </c>
      <c r="G148" s="6" t="s">
        <v>407</v>
      </c>
      <c r="H148" s="8" t="s">
        <v>284</v>
      </c>
      <c r="I148" s="8" t="s">
        <v>285</v>
      </c>
    </row>
    <row r="149" spans="1:9" x14ac:dyDescent="0.25">
      <c r="A149" s="8" t="s">
        <v>114</v>
      </c>
      <c r="B149" s="8" t="s">
        <v>276</v>
      </c>
      <c r="C149" s="8" t="s">
        <v>277</v>
      </c>
      <c r="D149" s="8">
        <v>5</v>
      </c>
      <c r="E149" s="6" t="s">
        <v>286</v>
      </c>
      <c r="F149" s="8" t="s">
        <v>192</v>
      </c>
      <c r="G149" s="6" t="s">
        <v>287</v>
      </c>
      <c r="H149" s="8" t="s">
        <v>288</v>
      </c>
      <c r="I149" s="6" t="s">
        <v>289</v>
      </c>
    </row>
    <row r="150" spans="1:9" x14ac:dyDescent="0.25">
      <c r="A150" s="8" t="s">
        <v>114</v>
      </c>
      <c r="B150" s="8" t="s">
        <v>276</v>
      </c>
      <c r="C150" s="8" t="s">
        <v>277</v>
      </c>
      <c r="D150" s="8">
        <v>6</v>
      </c>
      <c r="E150" s="6" t="s">
        <v>290</v>
      </c>
      <c r="F150" s="8" t="s">
        <v>192</v>
      </c>
      <c r="G150" s="6" t="s">
        <v>291</v>
      </c>
      <c r="H150" s="8" t="s">
        <v>288</v>
      </c>
      <c r="I150" s="6" t="s">
        <v>292</v>
      </c>
    </row>
    <row r="151" spans="1:9" x14ac:dyDescent="0.25">
      <c r="A151" s="8" t="s">
        <v>114</v>
      </c>
      <c r="B151" s="8" t="s">
        <v>276</v>
      </c>
      <c r="C151" s="8" t="s">
        <v>277</v>
      </c>
      <c r="D151" s="8">
        <v>7</v>
      </c>
      <c r="E151" s="6" t="s">
        <v>293</v>
      </c>
      <c r="F151" s="8" t="s">
        <v>192</v>
      </c>
      <c r="G151" s="6" t="s">
        <v>452</v>
      </c>
      <c r="H151" s="8" t="s">
        <v>295</v>
      </c>
      <c r="I151" s="8" t="s">
        <v>192</v>
      </c>
    </row>
    <row r="152" spans="1:9" x14ac:dyDescent="0.25">
      <c r="A152" s="8" t="s">
        <v>114</v>
      </c>
      <c r="B152" s="8" t="s">
        <v>276</v>
      </c>
      <c r="C152" s="8" t="s">
        <v>277</v>
      </c>
      <c r="D152" s="8">
        <v>8</v>
      </c>
      <c r="E152" s="6" t="s">
        <v>296</v>
      </c>
      <c r="F152" s="8" t="s">
        <v>192</v>
      </c>
      <c r="G152" s="8" t="s">
        <v>192</v>
      </c>
      <c r="H152" s="6" t="s">
        <v>453</v>
      </c>
      <c r="I152" s="8" t="s">
        <v>192</v>
      </c>
    </row>
    <row r="153" spans="1:9" x14ac:dyDescent="0.25">
      <c r="A153" s="8" t="s">
        <v>114</v>
      </c>
      <c r="B153" s="8" t="s">
        <v>276</v>
      </c>
      <c r="C153" s="8" t="s">
        <v>277</v>
      </c>
      <c r="D153" s="8">
        <v>9</v>
      </c>
      <c r="E153" s="6" t="s">
        <v>298</v>
      </c>
      <c r="F153" s="8" t="s">
        <v>192</v>
      </c>
      <c r="G153" s="6" t="s">
        <v>454</v>
      </c>
      <c r="H153" s="8" t="s">
        <v>118</v>
      </c>
      <c r="I153" s="6" t="s">
        <v>411</v>
      </c>
    </row>
    <row r="154" spans="1:9" x14ac:dyDescent="0.25">
      <c r="A154" s="8" t="s">
        <v>114</v>
      </c>
      <c r="B154" s="8" t="s">
        <v>276</v>
      </c>
      <c r="C154" s="6" t="s">
        <v>455</v>
      </c>
      <c r="D154" s="8">
        <v>1</v>
      </c>
      <c r="E154" s="6" t="s">
        <v>302</v>
      </c>
      <c r="F154" s="8" t="s">
        <v>192</v>
      </c>
      <c r="G154" s="8" t="s">
        <v>456</v>
      </c>
      <c r="H154" s="6" t="s">
        <v>457</v>
      </c>
      <c r="I154" s="6" t="s">
        <v>305</v>
      </c>
    </row>
    <row r="155" spans="1:9" x14ac:dyDescent="0.25">
      <c r="A155" s="8" t="s">
        <v>114</v>
      </c>
      <c r="B155" s="8" t="s">
        <v>276</v>
      </c>
      <c r="C155" s="6" t="s">
        <v>455</v>
      </c>
      <c r="D155" s="8">
        <v>2</v>
      </c>
      <c r="E155" s="8" t="s">
        <v>306</v>
      </c>
      <c r="F155" s="8" t="s">
        <v>307</v>
      </c>
      <c r="G155" s="6" t="s">
        <v>458</v>
      </c>
      <c r="H155" s="8" t="s">
        <v>459</v>
      </c>
      <c r="I155" s="8" t="s">
        <v>192</v>
      </c>
    </row>
    <row r="156" spans="1:9" x14ac:dyDescent="0.25">
      <c r="A156" s="8" t="s">
        <v>114</v>
      </c>
      <c r="B156" s="8" t="s">
        <v>276</v>
      </c>
      <c r="C156" s="6" t="s">
        <v>460</v>
      </c>
      <c r="D156" s="8">
        <v>1</v>
      </c>
      <c r="E156" s="8" t="s">
        <v>215</v>
      </c>
      <c r="F156" s="8" t="s">
        <v>192</v>
      </c>
      <c r="G156" s="8" t="s">
        <v>192</v>
      </c>
      <c r="H156" s="6" t="s">
        <v>376</v>
      </c>
      <c r="I156" s="8" t="s">
        <v>192</v>
      </c>
    </row>
    <row r="157" spans="1:9" x14ac:dyDescent="0.25">
      <c r="A157" s="8" t="s">
        <v>114</v>
      </c>
      <c r="B157" s="8" t="s">
        <v>276</v>
      </c>
      <c r="C157" s="6" t="s">
        <v>460</v>
      </c>
      <c r="D157" s="8">
        <v>2</v>
      </c>
      <c r="E157" s="8" t="s">
        <v>217</v>
      </c>
      <c r="F157" s="8" t="s">
        <v>198</v>
      </c>
      <c r="G157" s="8" t="s">
        <v>377</v>
      </c>
      <c r="H157" s="8" t="s">
        <v>378</v>
      </c>
      <c r="I157" s="8" t="s">
        <v>192</v>
      </c>
    </row>
    <row r="158" spans="1:9" x14ac:dyDescent="0.25">
      <c r="A158" s="8" t="s">
        <v>114</v>
      </c>
      <c r="B158" s="8" t="s">
        <v>276</v>
      </c>
      <c r="C158" s="6" t="s">
        <v>460</v>
      </c>
      <c r="D158" s="8">
        <v>3</v>
      </c>
      <c r="E158" s="6" t="s">
        <v>311</v>
      </c>
      <c r="F158" s="6" t="s">
        <v>312</v>
      </c>
      <c r="G158" s="6" t="s">
        <v>461</v>
      </c>
      <c r="H158" s="8" t="s">
        <v>462</v>
      </c>
      <c r="I158" s="6" t="s">
        <v>315</v>
      </c>
    </row>
    <row r="159" spans="1:9" x14ac:dyDescent="0.25">
      <c r="A159" s="8" t="s">
        <v>116</v>
      </c>
      <c r="B159" s="8" t="s">
        <v>420</v>
      </c>
      <c r="C159" s="8" t="s">
        <v>463</v>
      </c>
      <c r="D159" s="8">
        <v>1</v>
      </c>
      <c r="E159" s="6" t="s">
        <v>422</v>
      </c>
      <c r="F159" s="8" t="s">
        <v>192</v>
      </c>
      <c r="G159" s="6" t="s">
        <v>464</v>
      </c>
      <c r="H159" s="8" t="s">
        <v>465</v>
      </c>
      <c r="I159" s="6" t="s">
        <v>425</v>
      </c>
    </row>
    <row r="160" spans="1:9" x14ac:dyDescent="0.25">
      <c r="A160" s="8" t="s">
        <v>116</v>
      </c>
      <c r="B160" s="8" t="s">
        <v>420</v>
      </c>
      <c r="C160" s="8" t="s">
        <v>463</v>
      </c>
      <c r="D160" s="8">
        <v>2</v>
      </c>
      <c r="E160" s="6" t="s">
        <v>426</v>
      </c>
      <c r="F160" s="8" t="s">
        <v>427</v>
      </c>
      <c r="G160" s="8" t="s">
        <v>466</v>
      </c>
      <c r="H160" s="8" t="s">
        <v>467</v>
      </c>
      <c r="I160" s="8" t="s">
        <v>192</v>
      </c>
    </row>
    <row r="161" spans="1:9" x14ac:dyDescent="0.25">
      <c r="A161" s="8" t="s">
        <v>116</v>
      </c>
      <c r="B161" s="8" t="s">
        <v>420</v>
      </c>
      <c r="C161" s="8" t="s">
        <v>463</v>
      </c>
      <c r="D161" s="8">
        <v>3</v>
      </c>
      <c r="E161" s="8" t="s">
        <v>430</v>
      </c>
      <c r="F161" s="6" t="s">
        <v>431</v>
      </c>
      <c r="G161" s="6" t="s">
        <v>468</v>
      </c>
      <c r="H161" s="8" t="s">
        <v>469</v>
      </c>
      <c r="I161" s="8" t="s">
        <v>192</v>
      </c>
    </row>
    <row r="162" spans="1:9" x14ac:dyDescent="0.25">
      <c r="A162" s="8" t="s">
        <v>116</v>
      </c>
      <c r="B162" s="8" t="s">
        <v>420</v>
      </c>
      <c r="C162" s="6" t="s">
        <v>470</v>
      </c>
      <c r="D162" s="8">
        <v>1</v>
      </c>
      <c r="E162" s="8" t="s">
        <v>435</v>
      </c>
      <c r="F162" s="8" t="s">
        <v>198</v>
      </c>
      <c r="G162" s="8" t="s">
        <v>377</v>
      </c>
      <c r="H162" s="8" t="s">
        <v>378</v>
      </c>
      <c r="I162" s="8" t="s">
        <v>192</v>
      </c>
    </row>
    <row r="163" spans="1:9" x14ac:dyDescent="0.25">
      <c r="A163" s="8" t="s">
        <v>116</v>
      </c>
      <c r="B163" s="8" t="s">
        <v>420</v>
      </c>
      <c r="C163" s="6" t="s">
        <v>470</v>
      </c>
      <c r="D163" s="8">
        <v>2</v>
      </c>
      <c r="E163" s="8" t="s">
        <v>436</v>
      </c>
      <c r="F163" s="8" t="s">
        <v>192</v>
      </c>
      <c r="G163" s="8" t="s">
        <v>192</v>
      </c>
      <c r="H163" s="6" t="s">
        <v>471</v>
      </c>
      <c r="I163" s="8" t="s">
        <v>192</v>
      </c>
    </row>
    <row r="164" spans="1:9" x14ac:dyDescent="0.25">
      <c r="A164" s="8" t="s">
        <v>116</v>
      </c>
      <c r="B164" s="8" t="s">
        <v>420</v>
      </c>
      <c r="C164" s="6" t="s">
        <v>470</v>
      </c>
      <c r="D164" s="8">
        <v>3</v>
      </c>
      <c r="E164" s="6" t="s">
        <v>438</v>
      </c>
      <c r="F164" s="8" t="s">
        <v>192</v>
      </c>
      <c r="G164" s="8" t="s">
        <v>192</v>
      </c>
      <c r="H164" s="8" t="s">
        <v>472</v>
      </c>
      <c r="I164" s="8" t="s">
        <v>192</v>
      </c>
    </row>
    <row r="165" spans="1:9" x14ac:dyDescent="0.25">
      <c r="A165" s="8" t="s">
        <v>119</v>
      </c>
      <c r="B165" s="8" t="s">
        <v>276</v>
      </c>
      <c r="C165" s="8" t="s">
        <v>277</v>
      </c>
      <c r="D165" s="8">
        <v>1</v>
      </c>
      <c r="E165" s="8" t="s">
        <v>473</v>
      </c>
      <c r="F165" s="8" t="s">
        <v>192</v>
      </c>
      <c r="G165" s="8" t="s">
        <v>192</v>
      </c>
      <c r="H165" s="6" t="s">
        <v>474</v>
      </c>
      <c r="I165" s="8" t="s">
        <v>192</v>
      </c>
    </row>
    <row r="166" spans="1:9" x14ac:dyDescent="0.25">
      <c r="A166" s="8" t="s">
        <v>119</v>
      </c>
      <c r="B166" s="8" t="s">
        <v>276</v>
      </c>
      <c r="C166" s="8" t="s">
        <v>277</v>
      </c>
      <c r="D166" s="8">
        <v>2</v>
      </c>
      <c r="E166" s="8" t="s">
        <v>475</v>
      </c>
      <c r="F166" s="8" t="s">
        <v>192</v>
      </c>
      <c r="G166" s="8" t="s">
        <v>192</v>
      </c>
      <c r="H166" s="6" t="s">
        <v>476</v>
      </c>
      <c r="I166" s="8" t="s">
        <v>192</v>
      </c>
    </row>
    <row r="167" spans="1:9" x14ac:dyDescent="0.25">
      <c r="A167" s="8" t="s">
        <v>119</v>
      </c>
      <c r="B167" s="8" t="s">
        <v>276</v>
      </c>
      <c r="C167" s="8" t="s">
        <v>277</v>
      </c>
      <c r="D167" s="8">
        <v>3</v>
      </c>
      <c r="E167" s="8" t="s">
        <v>477</v>
      </c>
      <c r="F167" s="8" t="s">
        <v>192</v>
      </c>
      <c r="G167" s="8" t="s">
        <v>192</v>
      </c>
      <c r="H167" s="6" t="s">
        <v>478</v>
      </c>
      <c r="I167" s="8" t="s">
        <v>192</v>
      </c>
    </row>
    <row r="168" spans="1:9" x14ac:dyDescent="0.25">
      <c r="A168" s="8" t="s">
        <v>119</v>
      </c>
      <c r="B168" s="8" t="s">
        <v>276</v>
      </c>
      <c r="C168" s="8" t="s">
        <v>277</v>
      </c>
      <c r="D168" s="8">
        <v>4</v>
      </c>
      <c r="E168" s="8" t="s">
        <v>264</v>
      </c>
      <c r="F168" s="6" t="s">
        <v>265</v>
      </c>
      <c r="G168" s="8" t="s">
        <v>479</v>
      </c>
      <c r="H168" s="8" t="s">
        <v>480</v>
      </c>
      <c r="I168" s="8" t="s">
        <v>268</v>
      </c>
    </row>
    <row r="169" spans="1:9" x14ac:dyDescent="0.25">
      <c r="A169" s="8" t="s">
        <v>119</v>
      </c>
      <c r="B169" s="8" t="s">
        <v>276</v>
      </c>
      <c r="C169" s="8" t="s">
        <v>277</v>
      </c>
      <c r="D169" s="8">
        <v>5</v>
      </c>
      <c r="E169" s="8" t="s">
        <v>67</v>
      </c>
      <c r="F169" s="6" t="s">
        <v>269</v>
      </c>
      <c r="G169" s="8" t="s">
        <v>192</v>
      </c>
      <c r="H169" s="8" t="s">
        <v>270</v>
      </c>
      <c r="I169" s="6" t="s">
        <v>271</v>
      </c>
    </row>
    <row r="170" spans="1:9" x14ac:dyDescent="0.25">
      <c r="A170" s="8" t="s">
        <v>119</v>
      </c>
      <c r="B170" s="8" t="s">
        <v>276</v>
      </c>
      <c r="C170" s="8" t="s">
        <v>277</v>
      </c>
      <c r="D170" s="8">
        <v>6</v>
      </c>
      <c r="E170" s="6" t="s">
        <v>278</v>
      </c>
      <c r="F170" s="8" t="s">
        <v>192</v>
      </c>
      <c r="G170" s="6" t="s">
        <v>279</v>
      </c>
      <c r="H170" s="8" t="s">
        <v>280</v>
      </c>
      <c r="I170" s="6" t="s">
        <v>281</v>
      </c>
    </row>
    <row r="171" spans="1:9" x14ac:dyDescent="0.25">
      <c r="A171" s="8" t="s">
        <v>119</v>
      </c>
      <c r="B171" s="8" t="s">
        <v>276</v>
      </c>
      <c r="C171" s="8" t="s">
        <v>277</v>
      </c>
      <c r="D171" s="8">
        <v>7</v>
      </c>
      <c r="E171" s="8" t="s">
        <v>282</v>
      </c>
      <c r="F171" s="8" t="s">
        <v>192</v>
      </c>
      <c r="G171" s="6" t="s">
        <v>481</v>
      </c>
      <c r="H171" s="8" t="s">
        <v>332</v>
      </c>
      <c r="I171" s="8" t="s">
        <v>285</v>
      </c>
    </row>
    <row r="172" spans="1:9" x14ac:dyDescent="0.25">
      <c r="A172" s="8" t="s">
        <v>119</v>
      </c>
      <c r="B172" s="8" t="s">
        <v>276</v>
      </c>
      <c r="C172" s="8" t="s">
        <v>277</v>
      </c>
      <c r="D172" s="8">
        <v>8</v>
      </c>
      <c r="E172" s="6" t="s">
        <v>286</v>
      </c>
      <c r="F172" s="8" t="s">
        <v>192</v>
      </c>
      <c r="G172" s="6" t="s">
        <v>287</v>
      </c>
      <c r="H172" s="8" t="s">
        <v>288</v>
      </c>
      <c r="I172" s="6" t="s">
        <v>289</v>
      </c>
    </row>
    <row r="173" spans="1:9" x14ac:dyDescent="0.25">
      <c r="A173" s="8" t="s">
        <v>119</v>
      </c>
      <c r="B173" s="8" t="s">
        <v>276</v>
      </c>
      <c r="C173" s="8" t="s">
        <v>277</v>
      </c>
      <c r="D173" s="8">
        <v>9</v>
      </c>
      <c r="E173" s="6" t="s">
        <v>290</v>
      </c>
      <c r="F173" s="8" t="s">
        <v>192</v>
      </c>
      <c r="G173" s="6" t="s">
        <v>291</v>
      </c>
      <c r="H173" s="8" t="s">
        <v>288</v>
      </c>
      <c r="I173" s="6" t="s">
        <v>292</v>
      </c>
    </row>
    <row r="174" spans="1:9" x14ac:dyDescent="0.25">
      <c r="A174" s="8" t="s">
        <v>119</v>
      </c>
      <c r="B174" s="8" t="s">
        <v>276</v>
      </c>
      <c r="C174" s="8" t="s">
        <v>277</v>
      </c>
      <c r="D174" s="8">
        <v>10</v>
      </c>
      <c r="E174" s="6" t="s">
        <v>293</v>
      </c>
      <c r="F174" s="8" t="s">
        <v>192</v>
      </c>
      <c r="G174" s="6" t="s">
        <v>482</v>
      </c>
      <c r="H174" s="8" t="s">
        <v>295</v>
      </c>
      <c r="I174" s="8" t="s">
        <v>192</v>
      </c>
    </row>
    <row r="175" spans="1:9" x14ac:dyDescent="0.25">
      <c r="A175" s="8" t="s">
        <v>119</v>
      </c>
      <c r="B175" s="8" t="s">
        <v>276</v>
      </c>
      <c r="C175" s="8" t="s">
        <v>277</v>
      </c>
      <c r="D175" s="8">
        <v>11</v>
      </c>
      <c r="E175" s="6" t="s">
        <v>296</v>
      </c>
      <c r="F175" s="8" t="s">
        <v>192</v>
      </c>
      <c r="G175" s="8" t="s">
        <v>192</v>
      </c>
      <c r="H175" s="6" t="s">
        <v>483</v>
      </c>
      <c r="I175" s="8" t="s">
        <v>192</v>
      </c>
    </row>
    <row r="176" spans="1:9" x14ac:dyDescent="0.25">
      <c r="A176" s="8" t="s">
        <v>119</v>
      </c>
      <c r="B176" s="8" t="s">
        <v>276</v>
      </c>
      <c r="C176" s="8" t="s">
        <v>484</v>
      </c>
      <c r="D176" s="8">
        <v>1</v>
      </c>
      <c r="E176" s="6" t="s">
        <v>302</v>
      </c>
      <c r="F176" s="8" t="s">
        <v>192</v>
      </c>
      <c r="G176" s="8" t="s">
        <v>485</v>
      </c>
      <c r="H176" s="6" t="s">
        <v>486</v>
      </c>
      <c r="I176" s="6" t="s">
        <v>305</v>
      </c>
    </row>
    <row r="177" spans="1:9" x14ac:dyDescent="0.25">
      <c r="A177" s="8" t="s">
        <v>119</v>
      </c>
      <c r="B177" s="8" t="s">
        <v>276</v>
      </c>
      <c r="C177" s="8" t="s">
        <v>484</v>
      </c>
      <c r="D177" s="8">
        <v>2</v>
      </c>
      <c r="E177" s="8" t="s">
        <v>306</v>
      </c>
      <c r="F177" s="8" t="s">
        <v>307</v>
      </c>
      <c r="G177" s="6" t="s">
        <v>487</v>
      </c>
      <c r="H177" s="8" t="s">
        <v>488</v>
      </c>
      <c r="I177" s="8" t="s">
        <v>192</v>
      </c>
    </row>
    <row r="178" spans="1:9" x14ac:dyDescent="0.25">
      <c r="A178" s="8" t="s">
        <v>119</v>
      </c>
      <c r="B178" s="8" t="s">
        <v>276</v>
      </c>
      <c r="C178" s="6" t="s">
        <v>489</v>
      </c>
      <c r="D178" s="8">
        <v>1</v>
      </c>
      <c r="E178" s="8" t="s">
        <v>215</v>
      </c>
      <c r="F178" s="8" t="s">
        <v>192</v>
      </c>
      <c r="G178" s="8" t="s">
        <v>192</v>
      </c>
      <c r="H178" s="6" t="s">
        <v>257</v>
      </c>
      <c r="I178" s="8" t="s">
        <v>192</v>
      </c>
    </row>
    <row r="179" spans="1:9" x14ac:dyDescent="0.25">
      <c r="A179" s="8" t="s">
        <v>119</v>
      </c>
      <c r="B179" s="8" t="s">
        <v>276</v>
      </c>
      <c r="C179" s="6" t="s">
        <v>489</v>
      </c>
      <c r="D179" s="8">
        <v>2</v>
      </c>
      <c r="E179" s="8" t="s">
        <v>217</v>
      </c>
      <c r="F179" s="8" t="s">
        <v>198</v>
      </c>
      <c r="G179" s="8" t="s">
        <v>386</v>
      </c>
      <c r="H179" s="8" t="s">
        <v>387</v>
      </c>
      <c r="I179" s="8" t="s">
        <v>192</v>
      </c>
    </row>
    <row r="180" spans="1:9" x14ac:dyDescent="0.25">
      <c r="A180" s="8" t="s">
        <v>119</v>
      </c>
      <c r="B180" s="8" t="s">
        <v>276</v>
      </c>
      <c r="C180" s="6" t="s">
        <v>489</v>
      </c>
      <c r="D180" s="8">
        <v>3</v>
      </c>
      <c r="E180" s="6" t="s">
        <v>311</v>
      </c>
      <c r="F180" s="6" t="s">
        <v>312</v>
      </c>
      <c r="G180" s="6" t="s">
        <v>490</v>
      </c>
      <c r="H180" s="8" t="s">
        <v>491</v>
      </c>
      <c r="I180" s="6" t="s">
        <v>315</v>
      </c>
    </row>
    <row r="181" spans="1:9" x14ac:dyDescent="0.25">
      <c r="A181" s="8" t="s">
        <v>121</v>
      </c>
      <c r="B181" s="8" t="s">
        <v>225</v>
      </c>
      <c r="C181" s="8" t="s">
        <v>492</v>
      </c>
      <c r="D181" s="8">
        <v>1</v>
      </c>
      <c r="E181" s="6" t="s">
        <v>227</v>
      </c>
      <c r="F181" s="8" t="s">
        <v>192</v>
      </c>
      <c r="G181" s="8" t="s">
        <v>192</v>
      </c>
      <c r="H181" s="8" t="s">
        <v>493</v>
      </c>
      <c r="I181" s="8" t="s">
        <v>192</v>
      </c>
    </row>
    <row r="182" spans="1:9" x14ac:dyDescent="0.25">
      <c r="A182" s="8" t="s">
        <v>123</v>
      </c>
      <c r="B182" s="8" t="s">
        <v>276</v>
      </c>
      <c r="C182" s="8" t="s">
        <v>277</v>
      </c>
      <c r="D182" s="8">
        <v>1</v>
      </c>
      <c r="E182" s="8" t="s">
        <v>260</v>
      </c>
      <c r="F182" s="8" t="s">
        <v>192</v>
      </c>
      <c r="G182" s="8" t="s">
        <v>192</v>
      </c>
      <c r="H182" s="6" t="s">
        <v>390</v>
      </c>
      <c r="I182" s="8" t="s">
        <v>192</v>
      </c>
    </row>
    <row r="183" spans="1:9" x14ac:dyDescent="0.25">
      <c r="A183" s="8" t="s">
        <v>123</v>
      </c>
      <c r="B183" s="8" t="s">
        <v>276</v>
      </c>
      <c r="C183" s="8" t="s">
        <v>277</v>
      </c>
      <c r="D183" s="8">
        <v>2</v>
      </c>
      <c r="E183" s="8" t="s">
        <v>264</v>
      </c>
      <c r="F183" s="6" t="s">
        <v>265</v>
      </c>
      <c r="G183" s="8" t="s">
        <v>391</v>
      </c>
      <c r="H183" s="8" t="s">
        <v>392</v>
      </c>
      <c r="I183" s="8" t="s">
        <v>393</v>
      </c>
    </row>
    <row r="184" spans="1:9" x14ac:dyDescent="0.25">
      <c r="A184" s="8" t="s">
        <v>123</v>
      </c>
      <c r="B184" s="8" t="s">
        <v>276</v>
      </c>
      <c r="C184" s="8" t="s">
        <v>277</v>
      </c>
      <c r="D184" s="8">
        <v>3</v>
      </c>
      <c r="E184" s="8" t="s">
        <v>67</v>
      </c>
      <c r="F184" s="6" t="s">
        <v>269</v>
      </c>
      <c r="G184" s="8" t="s">
        <v>192</v>
      </c>
      <c r="H184" s="8" t="s">
        <v>394</v>
      </c>
      <c r="I184" s="6" t="s">
        <v>395</v>
      </c>
    </row>
    <row r="185" spans="1:9" x14ac:dyDescent="0.25">
      <c r="A185" s="8" t="s">
        <v>123</v>
      </c>
      <c r="B185" s="8" t="s">
        <v>276</v>
      </c>
      <c r="C185" s="8" t="s">
        <v>277</v>
      </c>
      <c r="D185" s="8">
        <v>4</v>
      </c>
      <c r="E185" s="6" t="s">
        <v>278</v>
      </c>
      <c r="F185" s="8" t="s">
        <v>192</v>
      </c>
      <c r="G185" s="6" t="s">
        <v>279</v>
      </c>
      <c r="H185" s="8" t="s">
        <v>280</v>
      </c>
      <c r="I185" s="6" t="s">
        <v>281</v>
      </c>
    </row>
    <row r="186" spans="1:9" x14ac:dyDescent="0.25">
      <c r="A186" s="8" t="s">
        <v>123</v>
      </c>
      <c r="B186" s="8" t="s">
        <v>276</v>
      </c>
      <c r="C186" s="8" t="s">
        <v>277</v>
      </c>
      <c r="D186" s="8">
        <v>5</v>
      </c>
      <c r="E186" s="8" t="s">
        <v>282</v>
      </c>
      <c r="F186" s="8" t="s">
        <v>192</v>
      </c>
      <c r="G186" s="6" t="s">
        <v>494</v>
      </c>
      <c r="H186" s="8" t="s">
        <v>332</v>
      </c>
      <c r="I186" s="8" t="s">
        <v>285</v>
      </c>
    </row>
    <row r="187" spans="1:9" x14ac:dyDescent="0.25">
      <c r="A187" s="8" t="s">
        <v>123</v>
      </c>
      <c r="B187" s="8" t="s">
        <v>276</v>
      </c>
      <c r="C187" s="8" t="s">
        <v>277</v>
      </c>
      <c r="D187" s="8">
        <v>6</v>
      </c>
      <c r="E187" s="6" t="s">
        <v>286</v>
      </c>
      <c r="F187" s="8" t="s">
        <v>192</v>
      </c>
      <c r="G187" s="6" t="s">
        <v>287</v>
      </c>
      <c r="H187" s="8" t="s">
        <v>288</v>
      </c>
      <c r="I187" s="6" t="s">
        <v>289</v>
      </c>
    </row>
    <row r="188" spans="1:9" x14ac:dyDescent="0.25">
      <c r="A188" s="8" t="s">
        <v>123</v>
      </c>
      <c r="B188" s="8" t="s">
        <v>276</v>
      </c>
      <c r="C188" s="8" t="s">
        <v>277</v>
      </c>
      <c r="D188" s="8">
        <v>7</v>
      </c>
      <c r="E188" s="6" t="s">
        <v>290</v>
      </c>
      <c r="F188" s="8" t="s">
        <v>192</v>
      </c>
      <c r="G188" s="6" t="s">
        <v>495</v>
      </c>
      <c r="H188" s="8" t="s">
        <v>288</v>
      </c>
      <c r="I188" s="6" t="s">
        <v>292</v>
      </c>
    </row>
    <row r="189" spans="1:9" x14ac:dyDescent="0.25">
      <c r="A189" s="8" t="s">
        <v>123</v>
      </c>
      <c r="B189" s="8" t="s">
        <v>276</v>
      </c>
      <c r="C189" s="8" t="s">
        <v>277</v>
      </c>
      <c r="D189" s="8">
        <v>8</v>
      </c>
      <c r="E189" s="6" t="s">
        <v>293</v>
      </c>
      <c r="F189" s="8" t="s">
        <v>192</v>
      </c>
      <c r="G189" s="6" t="s">
        <v>496</v>
      </c>
      <c r="H189" s="8" t="s">
        <v>295</v>
      </c>
      <c r="I189" s="8" t="s">
        <v>192</v>
      </c>
    </row>
    <row r="190" spans="1:9" x14ac:dyDescent="0.25">
      <c r="A190" s="8" t="s">
        <v>123</v>
      </c>
      <c r="B190" s="8" t="s">
        <v>276</v>
      </c>
      <c r="C190" s="8" t="s">
        <v>277</v>
      </c>
      <c r="D190" s="8">
        <v>9</v>
      </c>
      <c r="E190" s="6" t="s">
        <v>296</v>
      </c>
      <c r="F190" s="8" t="s">
        <v>192</v>
      </c>
      <c r="G190" s="8" t="s">
        <v>192</v>
      </c>
      <c r="H190" s="6" t="s">
        <v>497</v>
      </c>
      <c r="I190" s="8" t="s">
        <v>192</v>
      </c>
    </row>
    <row r="191" spans="1:9" x14ac:dyDescent="0.25">
      <c r="A191" s="8" t="s">
        <v>123</v>
      </c>
      <c r="B191" s="8" t="s">
        <v>276</v>
      </c>
      <c r="C191" s="8" t="s">
        <v>277</v>
      </c>
      <c r="D191" s="8">
        <v>10</v>
      </c>
      <c r="E191" s="6" t="s">
        <v>298</v>
      </c>
      <c r="F191" s="8" t="s">
        <v>192</v>
      </c>
      <c r="G191" s="8" t="s">
        <v>498</v>
      </c>
      <c r="H191" s="8" t="s">
        <v>118</v>
      </c>
      <c r="I191" s="6" t="s">
        <v>300</v>
      </c>
    </row>
    <row r="192" spans="1:9" x14ac:dyDescent="0.25">
      <c r="A192" s="8" t="s">
        <v>123</v>
      </c>
      <c r="B192" s="8" t="s">
        <v>276</v>
      </c>
      <c r="C192" s="6" t="s">
        <v>499</v>
      </c>
      <c r="D192" s="8">
        <v>1</v>
      </c>
      <c r="E192" s="6" t="s">
        <v>302</v>
      </c>
      <c r="F192" s="8" t="s">
        <v>192</v>
      </c>
      <c r="G192" s="8" t="s">
        <v>500</v>
      </c>
      <c r="H192" s="6" t="s">
        <v>501</v>
      </c>
      <c r="I192" s="6" t="s">
        <v>305</v>
      </c>
    </row>
    <row r="193" spans="1:9" x14ac:dyDescent="0.25">
      <c r="A193" s="8" t="s">
        <v>123</v>
      </c>
      <c r="B193" s="8" t="s">
        <v>276</v>
      </c>
      <c r="C193" s="6" t="s">
        <v>499</v>
      </c>
      <c r="D193" s="8">
        <v>2</v>
      </c>
      <c r="E193" s="8" t="s">
        <v>306</v>
      </c>
      <c r="F193" s="8" t="s">
        <v>307</v>
      </c>
      <c r="G193" s="6" t="s">
        <v>502</v>
      </c>
      <c r="H193" s="8" t="s">
        <v>503</v>
      </c>
      <c r="I193" s="8" t="s">
        <v>192</v>
      </c>
    </row>
    <row r="194" spans="1:9" x14ac:dyDescent="0.25">
      <c r="A194" s="8" t="s">
        <v>123</v>
      </c>
      <c r="B194" s="8" t="s">
        <v>276</v>
      </c>
      <c r="C194" s="6" t="s">
        <v>504</v>
      </c>
      <c r="D194" s="8">
        <v>1</v>
      </c>
      <c r="E194" s="8" t="s">
        <v>215</v>
      </c>
      <c r="F194" s="8" t="s">
        <v>192</v>
      </c>
      <c r="G194" s="8" t="s">
        <v>192</v>
      </c>
      <c r="H194" s="6" t="s">
        <v>397</v>
      </c>
      <c r="I194" s="8" t="s">
        <v>192</v>
      </c>
    </row>
    <row r="195" spans="1:9" x14ac:dyDescent="0.25">
      <c r="A195" s="8" t="s">
        <v>123</v>
      </c>
      <c r="B195" s="8" t="s">
        <v>276</v>
      </c>
      <c r="C195" s="6" t="s">
        <v>504</v>
      </c>
      <c r="D195" s="8">
        <v>2</v>
      </c>
      <c r="E195" s="8" t="s">
        <v>217</v>
      </c>
      <c r="F195" s="8" t="s">
        <v>398</v>
      </c>
      <c r="G195" s="8" t="s">
        <v>399</v>
      </c>
      <c r="H195" s="8" t="s">
        <v>400</v>
      </c>
      <c r="I195" s="8" t="s">
        <v>192</v>
      </c>
    </row>
    <row r="196" spans="1:9" x14ac:dyDescent="0.25">
      <c r="A196" s="8" t="s">
        <v>123</v>
      </c>
      <c r="B196" s="8" t="s">
        <v>276</v>
      </c>
      <c r="C196" s="6" t="s">
        <v>504</v>
      </c>
      <c r="D196" s="8">
        <v>3</v>
      </c>
      <c r="E196" s="6" t="s">
        <v>311</v>
      </c>
      <c r="F196" s="6" t="s">
        <v>505</v>
      </c>
      <c r="G196" s="6" t="s">
        <v>506</v>
      </c>
      <c r="H196" s="8" t="s">
        <v>507</v>
      </c>
      <c r="I196" s="6" t="s">
        <v>315</v>
      </c>
    </row>
    <row r="197" spans="1:9" x14ac:dyDescent="0.25">
      <c r="A197" s="8" t="s">
        <v>125</v>
      </c>
      <c r="B197" s="8" t="s">
        <v>508</v>
      </c>
      <c r="C197" s="8" t="s">
        <v>509</v>
      </c>
      <c r="D197" s="8">
        <v>1</v>
      </c>
      <c r="E197" s="8" t="s">
        <v>510</v>
      </c>
      <c r="F197" s="8" t="s">
        <v>511</v>
      </c>
      <c r="G197" s="8" t="s">
        <v>512</v>
      </c>
      <c r="H197" s="8" t="s">
        <v>513</v>
      </c>
      <c r="I197" s="8" t="s">
        <v>192</v>
      </c>
    </row>
    <row r="198" spans="1:9" x14ac:dyDescent="0.25">
      <c r="A198" s="8" t="s">
        <v>125</v>
      </c>
      <c r="B198" s="8" t="s">
        <v>508</v>
      </c>
      <c r="C198" s="8" t="s">
        <v>509</v>
      </c>
      <c r="D198" s="8">
        <v>2</v>
      </c>
      <c r="E198" s="8" t="s">
        <v>514</v>
      </c>
      <c r="F198" s="8" t="s">
        <v>515</v>
      </c>
      <c r="G198" s="8" t="s">
        <v>516</v>
      </c>
      <c r="H198" s="8" t="s">
        <v>517</v>
      </c>
      <c r="I198" s="8" t="s">
        <v>192</v>
      </c>
    </row>
    <row r="199" spans="1:9" x14ac:dyDescent="0.25">
      <c r="A199" s="8" t="s">
        <v>125</v>
      </c>
      <c r="B199" s="8" t="s">
        <v>508</v>
      </c>
      <c r="C199" s="8" t="s">
        <v>509</v>
      </c>
      <c r="D199" s="8">
        <v>3</v>
      </c>
      <c r="E199" s="8" t="s">
        <v>430</v>
      </c>
      <c r="F199" s="6" t="s">
        <v>431</v>
      </c>
      <c r="G199" s="6" t="s">
        <v>518</v>
      </c>
      <c r="H199" s="8" t="s">
        <v>519</v>
      </c>
      <c r="I199" s="8" t="s">
        <v>192</v>
      </c>
    </row>
    <row r="200" spans="1:9" x14ac:dyDescent="0.25">
      <c r="A200" s="8" t="s">
        <v>125</v>
      </c>
      <c r="B200" s="8" t="s">
        <v>508</v>
      </c>
      <c r="C200" s="6" t="s">
        <v>520</v>
      </c>
      <c r="D200" s="8">
        <v>1</v>
      </c>
      <c r="E200" s="8" t="s">
        <v>435</v>
      </c>
      <c r="F200" s="8" t="s">
        <v>398</v>
      </c>
      <c r="G200" s="8" t="s">
        <v>399</v>
      </c>
      <c r="H200" s="8" t="s">
        <v>400</v>
      </c>
      <c r="I200" s="8" t="s">
        <v>192</v>
      </c>
    </row>
    <row r="201" spans="1:9" x14ac:dyDescent="0.25">
      <c r="A201" s="8" t="s">
        <v>125</v>
      </c>
      <c r="B201" s="8" t="s">
        <v>508</v>
      </c>
      <c r="C201" s="6" t="s">
        <v>520</v>
      </c>
      <c r="D201" s="8">
        <v>2</v>
      </c>
      <c r="E201" s="8" t="s">
        <v>436</v>
      </c>
      <c r="F201" s="8" t="s">
        <v>192</v>
      </c>
      <c r="G201" s="8" t="s">
        <v>192</v>
      </c>
      <c r="H201" s="6" t="s">
        <v>521</v>
      </c>
      <c r="I201" s="8" t="s">
        <v>192</v>
      </c>
    </row>
    <row r="202" spans="1:9" x14ac:dyDescent="0.25">
      <c r="A202" s="8" t="s">
        <v>125</v>
      </c>
      <c r="B202" s="8" t="s">
        <v>508</v>
      </c>
      <c r="C202" s="6" t="s">
        <v>520</v>
      </c>
      <c r="D202" s="8">
        <v>3</v>
      </c>
      <c r="E202" s="6" t="s">
        <v>438</v>
      </c>
      <c r="F202" s="8" t="s">
        <v>192</v>
      </c>
      <c r="G202" s="8" t="s">
        <v>192</v>
      </c>
      <c r="H202" s="8" t="s">
        <v>522</v>
      </c>
      <c r="I202" s="8" t="s">
        <v>192</v>
      </c>
    </row>
    <row r="203" spans="1:9" x14ac:dyDescent="0.25">
      <c r="A203" s="8" t="s">
        <v>127</v>
      </c>
      <c r="B203" s="8" t="s">
        <v>276</v>
      </c>
      <c r="C203" s="8" t="s">
        <v>277</v>
      </c>
      <c r="D203" s="8">
        <v>1</v>
      </c>
      <c r="E203" s="8" t="s">
        <v>262</v>
      </c>
      <c r="F203" s="8" t="s">
        <v>192</v>
      </c>
      <c r="G203" s="8" t="s">
        <v>192</v>
      </c>
      <c r="H203" s="6" t="s">
        <v>263</v>
      </c>
      <c r="I203" s="8" t="s">
        <v>192</v>
      </c>
    </row>
    <row r="204" spans="1:9" x14ac:dyDescent="0.25">
      <c r="A204" s="8" t="s">
        <v>127</v>
      </c>
      <c r="B204" s="8" t="s">
        <v>276</v>
      </c>
      <c r="C204" s="8" t="s">
        <v>277</v>
      </c>
      <c r="D204" s="8">
        <v>2</v>
      </c>
      <c r="E204" s="8" t="s">
        <v>264</v>
      </c>
      <c r="F204" s="6" t="s">
        <v>265</v>
      </c>
      <c r="G204" s="8" t="s">
        <v>401</v>
      </c>
      <c r="H204" s="8" t="s">
        <v>402</v>
      </c>
      <c r="I204" s="8" t="s">
        <v>393</v>
      </c>
    </row>
    <row r="205" spans="1:9" x14ac:dyDescent="0.25">
      <c r="A205" s="8" t="s">
        <v>127</v>
      </c>
      <c r="B205" s="8" t="s">
        <v>276</v>
      </c>
      <c r="C205" s="8" t="s">
        <v>277</v>
      </c>
      <c r="D205" s="8">
        <v>3</v>
      </c>
      <c r="E205" s="8" t="s">
        <v>67</v>
      </c>
      <c r="F205" s="6" t="s">
        <v>269</v>
      </c>
      <c r="G205" s="8" t="s">
        <v>192</v>
      </c>
      <c r="H205" s="8" t="s">
        <v>403</v>
      </c>
      <c r="I205" s="6" t="s">
        <v>395</v>
      </c>
    </row>
    <row r="206" spans="1:9" x14ac:dyDescent="0.25">
      <c r="A206" s="8" t="s">
        <v>127</v>
      </c>
      <c r="B206" s="8" t="s">
        <v>276</v>
      </c>
      <c r="C206" s="8" t="s">
        <v>277</v>
      </c>
      <c r="D206" s="8">
        <v>4</v>
      </c>
      <c r="E206" s="6" t="s">
        <v>278</v>
      </c>
      <c r="F206" s="8" t="s">
        <v>192</v>
      </c>
      <c r="G206" s="6" t="s">
        <v>279</v>
      </c>
      <c r="H206" s="8" t="s">
        <v>280</v>
      </c>
      <c r="I206" s="6" t="s">
        <v>281</v>
      </c>
    </row>
    <row r="207" spans="1:9" x14ac:dyDescent="0.25">
      <c r="A207" s="8" t="s">
        <v>127</v>
      </c>
      <c r="B207" s="8" t="s">
        <v>276</v>
      </c>
      <c r="C207" s="8" t="s">
        <v>277</v>
      </c>
      <c r="D207" s="8">
        <v>5</v>
      </c>
      <c r="E207" s="8" t="s">
        <v>282</v>
      </c>
      <c r="F207" s="8" t="s">
        <v>192</v>
      </c>
      <c r="G207" s="6" t="s">
        <v>523</v>
      </c>
      <c r="H207" s="8" t="s">
        <v>332</v>
      </c>
      <c r="I207" s="8" t="s">
        <v>285</v>
      </c>
    </row>
    <row r="208" spans="1:9" x14ac:dyDescent="0.25">
      <c r="A208" s="8" t="s">
        <v>127</v>
      </c>
      <c r="B208" s="8" t="s">
        <v>276</v>
      </c>
      <c r="C208" s="8" t="s">
        <v>277</v>
      </c>
      <c r="D208" s="8">
        <v>6</v>
      </c>
      <c r="E208" s="6" t="s">
        <v>286</v>
      </c>
      <c r="F208" s="8" t="s">
        <v>192</v>
      </c>
      <c r="G208" s="6" t="s">
        <v>287</v>
      </c>
      <c r="H208" s="8" t="s">
        <v>288</v>
      </c>
      <c r="I208" s="6" t="s">
        <v>289</v>
      </c>
    </row>
    <row r="209" spans="1:9" x14ac:dyDescent="0.25">
      <c r="A209" s="8" t="s">
        <v>127</v>
      </c>
      <c r="B209" s="8" t="s">
        <v>276</v>
      </c>
      <c r="C209" s="8" t="s">
        <v>277</v>
      </c>
      <c r="D209" s="8">
        <v>7</v>
      </c>
      <c r="E209" s="6" t="s">
        <v>290</v>
      </c>
      <c r="F209" s="8" t="s">
        <v>192</v>
      </c>
      <c r="G209" s="6" t="s">
        <v>291</v>
      </c>
      <c r="H209" s="8" t="s">
        <v>288</v>
      </c>
      <c r="I209" s="6" t="s">
        <v>292</v>
      </c>
    </row>
    <row r="210" spans="1:9" x14ac:dyDescent="0.25">
      <c r="A210" s="8" t="s">
        <v>127</v>
      </c>
      <c r="B210" s="8" t="s">
        <v>276</v>
      </c>
      <c r="C210" s="8" t="s">
        <v>277</v>
      </c>
      <c r="D210" s="8">
        <v>8</v>
      </c>
      <c r="E210" s="6" t="s">
        <v>293</v>
      </c>
      <c r="F210" s="8" t="s">
        <v>192</v>
      </c>
      <c r="G210" s="6" t="s">
        <v>524</v>
      </c>
      <c r="H210" s="8" t="s">
        <v>295</v>
      </c>
      <c r="I210" s="8" t="s">
        <v>192</v>
      </c>
    </row>
    <row r="211" spans="1:9" x14ac:dyDescent="0.25">
      <c r="A211" s="8" t="s">
        <v>127</v>
      </c>
      <c r="B211" s="8" t="s">
        <v>276</v>
      </c>
      <c r="C211" s="8" t="s">
        <v>277</v>
      </c>
      <c r="D211" s="8">
        <v>9</v>
      </c>
      <c r="E211" s="6" t="s">
        <v>296</v>
      </c>
      <c r="F211" s="8" t="s">
        <v>192</v>
      </c>
      <c r="G211" s="8" t="s">
        <v>192</v>
      </c>
      <c r="H211" s="6" t="s">
        <v>525</v>
      </c>
      <c r="I211" s="8" t="s">
        <v>192</v>
      </c>
    </row>
    <row r="212" spans="1:9" x14ac:dyDescent="0.25">
      <c r="A212" s="8" t="s">
        <v>127</v>
      </c>
      <c r="B212" s="8" t="s">
        <v>276</v>
      </c>
      <c r="C212" s="8" t="s">
        <v>277</v>
      </c>
      <c r="D212" s="8">
        <v>10</v>
      </c>
      <c r="E212" s="6" t="s">
        <v>298</v>
      </c>
      <c r="F212" s="8" t="s">
        <v>192</v>
      </c>
      <c r="G212" s="8" t="s">
        <v>526</v>
      </c>
      <c r="H212" s="8" t="s">
        <v>113</v>
      </c>
      <c r="I212" s="6" t="s">
        <v>300</v>
      </c>
    </row>
    <row r="213" spans="1:9" x14ac:dyDescent="0.25">
      <c r="A213" s="8" t="s">
        <v>127</v>
      </c>
      <c r="B213" s="8" t="s">
        <v>276</v>
      </c>
      <c r="C213" s="6" t="s">
        <v>527</v>
      </c>
      <c r="D213" s="8">
        <v>1</v>
      </c>
      <c r="E213" s="6" t="s">
        <v>302</v>
      </c>
      <c r="F213" s="8" t="s">
        <v>192</v>
      </c>
      <c r="G213" s="8" t="s">
        <v>528</v>
      </c>
      <c r="H213" s="6" t="s">
        <v>529</v>
      </c>
      <c r="I213" s="6" t="s">
        <v>305</v>
      </c>
    </row>
    <row r="214" spans="1:9" x14ac:dyDescent="0.25">
      <c r="A214" s="8" t="s">
        <v>127</v>
      </c>
      <c r="B214" s="8" t="s">
        <v>276</v>
      </c>
      <c r="C214" s="6" t="s">
        <v>527</v>
      </c>
      <c r="D214" s="8">
        <v>2</v>
      </c>
      <c r="E214" s="8" t="s">
        <v>306</v>
      </c>
      <c r="F214" s="8" t="s">
        <v>307</v>
      </c>
      <c r="G214" s="6" t="s">
        <v>530</v>
      </c>
      <c r="H214" s="8" t="s">
        <v>531</v>
      </c>
      <c r="I214" s="8" t="s">
        <v>192</v>
      </c>
    </row>
    <row r="215" spans="1:9" x14ac:dyDescent="0.25">
      <c r="A215" s="8" t="s">
        <v>127</v>
      </c>
      <c r="B215" s="8" t="s">
        <v>276</v>
      </c>
      <c r="C215" s="6" t="s">
        <v>532</v>
      </c>
      <c r="D215" s="8">
        <v>1</v>
      </c>
      <c r="E215" s="8" t="s">
        <v>215</v>
      </c>
      <c r="F215" s="8" t="s">
        <v>192</v>
      </c>
      <c r="G215" s="8" t="s">
        <v>192</v>
      </c>
      <c r="H215" s="6" t="s">
        <v>405</v>
      </c>
      <c r="I215" s="8" t="s">
        <v>192</v>
      </c>
    </row>
    <row r="216" spans="1:9" x14ac:dyDescent="0.25">
      <c r="A216" s="8" t="s">
        <v>127</v>
      </c>
      <c r="B216" s="8" t="s">
        <v>276</v>
      </c>
      <c r="C216" s="6" t="s">
        <v>532</v>
      </c>
      <c r="D216" s="8">
        <v>2</v>
      </c>
      <c r="E216" s="8" t="s">
        <v>217</v>
      </c>
      <c r="F216" s="8" t="s">
        <v>198</v>
      </c>
      <c r="G216" s="8" t="s">
        <v>406</v>
      </c>
      <c r="H216" s="8" t="s">
        <v>402</v>
      </c>
      <c r="I216" s="8" t="s">
        <v>192</v>
      </c>
    </row>
    <row r="217" spans="1:9" x14ac:dyDescent="0.25">
      <c r="A217" s="8" t="s">
        <v>127</v>
      </c>
      <c r="B217" s="8" t="s">
        <v>276</v>
      </c>
      <c r="C217" s="6" t="s">
        <v>532</v>
      </c>
      <c r="D217" s="8">
        <v>3</v>
      </c>
      <c r="E217" s="6" t="s">
        <v>311</v>
      </c>
      <c r="F217" s="6" t="s">
        <v>312</v>
      </c>
      <c r="G217" s="6" t="s">
        <v>533</v>
      </c>
      <c r="H217" s="8" t="s">
        <v>534</v>
      </c>
      <c r="I217" s="6" t="s">
        <v>315</v>
      </c>
    </row>
    <row r="218" spans="1:9" x14ac:dyDescent="0.25">
      <c r="A218" s="8" t="s">
        <v>129</v>
      </c>
      <c r="B218" s="8" t="s">
        <v>535</v>
      </c>
      <c r="C218" s="8" t="s">
        <v>536</v>
      </c>
      <c r="D218" s="8">
        <v>1</v>
      </c>
      <c r="E218" s="8" t="s">
        <v>514</v>
      </c>
      <c r="F218" s="8" t="s">
        <v>192</v>
      </c>
      <c r="G218" s="8" t="s">
        <v>192</v>
      </c>
      <c r="H218" s="8" t="s">
        <v>537</v>
      </c>
      <c r="I218" s="8" t="s">
        <v>192</v>
      </c>
    </row>
    <row r="219" spans="1:9" x14ac:dyDescent="0.25">
      <c r="A219" s="8" t="s">
        <v>129</v>
      </c>
      <c r="B219" s="8" t="s">
        <v>535</v>
      </c>
      <c r="C219" s="8" t="s">
        <v>536</v>
      </c>
      <c r="D219" s="8">
        <v>2</v>
      </c>
      <c r="E219" s="8" t="s">
        <v>430</v>
      </c>
      <c r="F219" s="6" t="s">
        <v>431</v>
      </c>
      <c r="G219" s="6" t="s">
        <v>538</v>
      </c>
      <c r="H219" s="6" t="s">
        <v>539</v>
      </c>
      <c r="I219" s="8" t="s">
        <v>192</v>
      </c>
    </row>
    <row r="220" spans="1:9" x14ac:dyDescent="0.25">
      <c r="A220" s="8" t="s">
        <v>129</v>
      </c>
      <c r="B220" s="8" t="s">
        <v>535</v>
      </c>
      <c r="C220" s="6" t="s">
        <v>540</v>
      </c>
      <c r="D220" s="8">
        <v>1</v>
      </c>
      <c r="E220" s="8" t="s">
        <v>435</v>
      </c>
      <c r="F220" s="8" t="s">
        <v>198</v>
      </c>
      <c r="G220" s="8" t="s">
        <v>406</v>
      </c>
      <c r="H220" s="8" t="s">
        <v>402</v>
      </c>
      <c r="I220" s="8" t="s">
        <v>192</v>
      </c>
    </row>
    <row r="221" spans="1:9" x14ac:dyDescent="0.25">
      <c r="A221" s="8" t="s">
        <v>129</v>
      </c>
      <c r="B221" s="8" t="s">
        <v>535</v>
      </c>
      <c r="C221" s="6" t="s">
        <v>540</v>
      </c>
      <c r="D221" s="8">
        <v>2</v>
      </c>
      <c r="E221" s="8" t="s">
        <v>436</v>
      </c>
      <c r="F221" s="8" t="s">
        <v>192</v>
      </c>
      <c r="G221" s="8" t="s">
        <v>192</v>
      </c>
      <c r="H221" s="6" t="s">
        <v>471</v>
      </c>
      <c r="I221" s="8" t="s">
        <v>192</v>
      </c>
    </row>
    <row r="222" spans="1:9" x14ac:dyDescent="0.25">
      <c r="A222" s="8" t="s">
        <v>129</v>
      </c>
      <c r="B222" s="8" t="s">
        <v>535</v>
      </c>
      <c r="C222" s="6" t="s">
        <v>540</v>
      </c>
      <c r="D222" s="8">
        <v>3</v>
      </c>
      <c r="E222" s="6" t="s">
        <v>438</v>
      </c>
      <c r="F222" s="8" t="s">
        <v>192</v>
      </c>
      <c r="G222" s="8" t="s">
        <v>192</v>
      </c>
      <c r="H222" s="8" t="s">
        <v>541</v>
      </c>
      <c r="I222" s="8" t="s">
        <v>192</v>
      </c>
    </row>
    <row r="223" spans="1:9" x14ac:dyDescent="0.25">
      <c r="A223" s="8" t="s">
        <v>110</v>
      </c>
      <c r="B223" s="8" t="s">
        <v>542</v>
      </c>
      <c r="C223" s="6" t="s">
        <v>543</v>
      </c>
      <c r="D223" s="8">
        <v>1</v>
      </c>
      <c r="E223" s="8" t="s">
        <v>215</v>
      </c>
      <c r="F223" s="8" t="s">
        <v>192</v>
      </c>
      <c r="G223" s="8" t="s">
        <v>192</v>
      </c>
      <c r="H223" s="6" t="s">
        <v>544</v>
      </c>
      <c r="I223" s="8" t="s">
        <v>192</v>
      </c>
    </row>
    <row r="224" spans="1:9" x14ac:dyDescent="0.25">
      <c r="A224" s="8" t="s">
        <v>110</v>
      </c>
      <c r="B224" s="8" t="s">
        <v>542</v>
      </c>
      <c r="C224" s="6" t="s">
        <v>543</v>
      </c>
      <c r="D224" s="8">
        <v>2</v>
      </c>
      <c r="E224" s="8" t="s">
        <v>545</v>
      </c>
      <c r="F224" s="6" t="s">
        <v>546</v>
      </c>
      <c r="G224" s="8" t="s">
        <v>547</v>
      </c>
      <c r="H224" s="8" t="s">
        <v>548</v>
      </c>
      <c r="I224" s="6" t="s">
        <v>549</v>
      </c>
    </row>
    <row r="225" spans="1:9" x14ac:dyDescent="0.25">
      <c r="A225" s="8" t="s">
        <v>550</v>
      </c>
      <c r="B225" s="8" t="s">
        <v>420</v>
      </c>
      <c r="C225" s="8" t="s">
        <v>551</v>
      </c>
      <c r="D225" s="8">
        <v>1</v>
      </c>
      <c r="E225" s="6" t="s">
        <v>422</v>
      </c>
      <c r="F225" s="8" t="s">
        <v>192</v>
      </c>
      <c r="G225" s="6" t="s">
        <v>552</v>
      </c>
      <c r="H225" s="8" t="s">
        <v>553</v>
      </c>
      <c r="I225" s="6" t="s">
        <v>425</v>
      </c>
    </row>
    <row r="226" spans="1:9" x14ac:dyDescent="0.25">
      <c r="A226" s="8" t="s">
        <v>550</v>
      </c>
      <c r="B226" s="8" t="s">
        <v>420</v>
      </c>
      <c r="C226" s="8" t="s">
        <v>551</v>
      </c>
      <c r="D226" s="8">
        <v>2</v>
      </c>
      <c r="E226" s="6" t="s">
        <v>426</v>
      </c>
      <c r="F226" s="8" t="s">
        <v>427</v>
      </c>
      <c r="G226" s="8" t="s">
        <v>554</v>
      </c>
      <c r="H226" s="8" t="s">
        <v>555</v>
      </c>
      <c r="I226" s="8" t="s">
        <v>192</v>
      </c>
    </row>
    <row r="227" spans="1:9" x14ac:dyDescent="0.25">
      <c r="A227" s="8" t="s">
        <v>550</v>
      </c>
      <c r="B227" s="8" t="s">
        <v>420</v>
      </c>
      <c r="C227" s="8" t="s">
        <v>551</v>
      </c>
      <c r="D227" s="8">
        <v>3</v>
      </c>
      <c r="E227" s="8" t="s">
        <v>430</v>
      </c>
      <c r="F227" s="6" t="s">
        <v>431</v>
      </c>
      <c r="G227" s="6" t="s">
        <v>556</v>
      </c>
      <c r="H227" s="6" t="s">
        <v>557</v>
      </c>
      <c r="I227" s="8" t="s">
        <v>192</v>
      </c>
    </row>
    <row r="228" spans="1:9" x14ac:dyDescent="0.25">
      <c r="A228" s="8" t="s">
        <v>550</v>
      </c>
      <c r="B228" s="8" t="s">
        <v>420</v>
      </c>
      <c r="C228" s="6" t="s">
        <v>558</v>
      </c>
      <c r="D228" s="8">
        <v>1</v>
      </c>
      <c r="E228" s="8" t="s">
        <v>435</v>
      </c>
      <c r="F228" s="8" t="s">
        <v>198</v>
      </c>
      <c r="G228" s="8" t="s">
        <v>559</v>
      </c>
      <c r="H228" s="8" t="s">
        <v>560</v>
      </c>
      <c r="I228" s="8" t="s">
        <v>192</v>
      </c>
    </row>
    <row r="229" spans="1:9" x14ac:dyDescent="0.25">
      <c r="A229" s="8" t="s">
        <v>550</v>
      </c>
      <c r="B229" s="8" t="s">
        <v>420</v>
      </c>
      <c r="C229" s="6" t="s">
        <v>558</v>
      </c>
      <c r="D229" s="8">
        <v>2</v>
      </c>
      <c r="E229" s="8" t="s">
        <v>436</v>
      </c>
      <c r="F229" s="8" t="s">
        <v>192</v>
      </c>
      <c r="G229" s="8" t="s">
        <v>192</v>
      </c>
      <c r="H229" s="6" t="s">
        <v>561</v>
      </c>
      <c r="I229" s="8" t="s">
        <v>192</v>
      </c>
    </row>
    <row r="230" spans="1:9" x14ac:dyDescent="0.25">
      <c r="A230" s="8" t="s">
        <v>550</v>
      </c>
      <c r="B230" s="8" t="s">
        <v>420</v>
      </c>
      <c r="C230" s="6" t="s">
        <v>558</v>
      </c>
      <c r="D230" s="8">
        <v>3</v>
      </c>
      <c r="E230" s="6" t="s">
        <v>438</v>
      </c>
      <c r="F230" s="8" t="s">
        <v>192</v>
      </c>
      <c r="G230" s="8" t="s">
        <v>192</v>
      </c>
      <c r="H230" s="8" t="s">
        <v>562</v>
      </c>
      <c r="I230" s="8" t="s">
        <v>192</v>
      </c>
    </row>
    <row r="231" spans="1:9" x14ac:dyDescent="0.25">
      <c r="A231" s="8" t="s">
        <v>132</v>
      </c>
      <c r="B231" s="8" t="s">
        <v>229</v>
      </c>
      <c r="C231" s="8" t="s">
        <v>230</v>
      </c>
      <c r="D231" s="8">
        <v>1</v>
      </c>
      <c r="E231" s="8" t="s">
        <v>473</v>
      </c>
      <c r="F231" s="8" t="s">
        <v>192</v>
      </c>
      <c r="G231" s="8" t="s">
        <v>192</v>
      </c>
      <c r="H231" s="6" t="s">
        <v>563</v>
      </c>
      <c r="I231" s="8" t="s">
        <v>192</v>
      </c>
    </row>
    <row r="232" spans="1:9" x14ac:dyDescent="0.25">
      <c r="A232" s="8" t="s">
        <v>132</v>
      </c>
      <c r="B232" s="8" t="s">
        <v>229</v>
      </c>
      <c r="C232" s="8" t="s">
        <v>230</v>
      </c>
      <c r="D232" s="8">
        <v>2</v>
      </c>
      <c r="E232" s="8" t="s">
        <v>264</v>
      </c>
      <c r="F232" s="6" t="s">
        <v>265</v>
      </c>
      <c r="G232" s="8" t="s">
        <v>564</v>
      </c>
      <c r="H232" s="8" t="s">
        <v>565</v>
      </c>
      <c r="I232" s="8" t="s">
        <v>393</v>
      </c>
    </row>
    <row r="233" spans="1:9" x14ac:dyDescent="0.25">
      <c r="A233" s="8" t="s">
        <v>132</v>
      </c>
      <c r="B233" s="8" t="s">
        <v>229</v>
      </c>
      <c r="C233" s="8" t="s">
        <v>230</v>
      </c>
      <c r="D233" s="8">
        <v>3</v>
      </c>
      <c r="E233" s="8" t="s">
        <v>67</v>
      </c>
      <c r="F233" s="6" t="s">
        <v>269</v>
      </c>
      <c r="G233" s="8" t="s">
        <v>192</v>
      </c>
      <c r="H233" s="8" t="s">
        <v>566</v>
      </c>
      <c r="I233" s="6" t="s">
        <v>395</v>
      </c>
    </row>
    <row r="234" spans="1:9" x14ac:dyDescent="0.25">
      <c r="A234" s="8" t="s">
        <v>132</v>
      </c>
      <c r="B234" s="8" t="s">
        <v>229</v>
      </c>
      <c r="C234" s="6" t="s">
        <v>567</v>
      </c>
      <c r="D234" s="8">
        <v>1</v>
      </c>
      <c r="E234" s="8" t="s">
        <v>215</v>
      </c>
      <c r="F234" s="8" t="s">
        <v>192</v>
      </c>
      <c r="G234" s="8" t="s">
        <v>192</v>
      </c>
      <c r="H234" s="6" t="s">
        <v>568</v>
      </c>
      <c r="I234" s="8" t="s">
        <v>192</v>
      </c>
    </row>
    <row r="235" spans="1:9" x14ac:dyDescent="0.25">
      <c r="A235" s="8" t="s">
        <v>132</v>
      </c>
      <c r="B235" s="8" t="s">
        <v>229</v>
      </c>
      <c r="C235" s="6" t="s">
        <v>567</v>
      </c>
      <c r="D235" s="8">
        <v>2</v>
      </c>
      <c r="E235" s="8" t="s">
        <v>217</v>
      </c>
      <c r="F235" s="8" t="s">
        <v>398</v>
      </c>
      <c r="G235" s="8" t="s">
        <v>569</v>
      </c>
      <c r="H235" s="8" t="s">
        <v>570</v>
      </c>
      <c r="I235" s="8" t="s">
        <v>192</v>
      </c>
    </row>
    <row r="236" spans="1:9" x14ac:dyDescent="0.25">
      <c r="A236" s="8" t="s">
        <v>132</v>
      </c>
      <c r="B236" s="8" t="s">
        <v>229</v>
      </c>
      <c r="C236" s="6" t="s">
        <v>567</v>
      </c>
      <c r="D236" s="8">
        <v>3</v>
      </c>
      <c r="E236" s="8" t="s">
        <v>245</v>
      </c>
      <c r="F236" s="8" t="s">
        <v>192</v>
      </c>
      <c r="G236" s="8" t="s">
        <v>192</v>
      </c>
      <c r="H236" s="8" t="s">
        <v>246</v>
      </c>
      <c r="I236" s="8" t="s">
        <v>192</v>
      </c>
    </row>
    <row r="237" spans="1:9" x14ac:dyDescent="0.25">
      <c r="A237" s="8" t="s">
        <v>135</v>
      </c>
      <c r="B237" s="8" t="s">
        <v>229</v>
      </c>
      <c r="C237" s="8" t="s">
        <v>230</v>
      </c>
      <c r="D237" s="8">
        <v>1</v>
      </c>
      <c r="E237" s="8" t="s">
        <v>475</v>
      </c>
      <c r="F237" s="8" t="s">
        <v>192</v>
      </c>
      <c r="G237" s="8" t="s">
        <v>192</v>
      </c>
      <c r="H237" s="6" t="s">
        <v>571</v>
      </c>
      <c r="I237" s="8" t="s">
        <v>192</v>
      </c>
    </row>
    <row r="238" spans="1:9" x14ac:dyDescent="0.25">
      <c r="A238" s="8" t="s">
        <v>135</v>
      </c>
      <c r="B238" s="8" t="s">
        <v>229</v>
      </c>
      <c r="C238" s="8" t="s">
        <v>230</v>
      </c>
      <c r="D238" s="8">
        <v>2</v>
      </c>
      <c r="E238" s="8" t="s">
        <v>264</v>
      </c>
      <c r="F238" s="6" t="s">
        <v>265</v>
      </c>
      <c r="G238" s="8" t="s">
        <v>572</v>
      </c>
      <c r="H238" s="8" t="s">
        <v>573</v>
      </c>
      <c r="I238" s="8" t="s">
        <v>393</v>
      </c>
    </row>
    <row r="239" spans="1:9" x14ac:dyDescent="0.25">
      <c r="A239" s="8" t="s">
        <v>135</v>
      </c>
      <c r="B239" s="8" t="s">
        <v>229</v>
      </c>
      <c r="C239" s="8" t="s">
        <v>230</v>
      </c>
      <c r="D239" s="8">
        <v>3</v>
      </c>
      <c r="E239" s="8" t="s">
        <v>67</v>
      </c>
      <c r="F239" s="6" t="s">
        <v>269</v>
      </c>
      <c r="G239" s="8" t="s">
        <v>192</v>
      </c>
      <c r="H239" s="8" t="s">
        <v>566</v>
      </c>
      <c r="I239" s="6" t="s">
        <v>395</v>
      </c>
    </row>
    <row r="240" spans="1:9" x14ac:dyDescent="0.25">
      <c r="A240" s="8" t="s">
        <v>135</v>
      </c>
      <c r="B240" s="8" t="s">
        <v>229</v>
      </c>
      <c r="C240" s="8" t="s">
        <v>230</v>
      </c>
      <c r="D240" s="8">
        <v>4</v>
      </c>
      <c r="E240" s="8" t="s">
        <v>574</v>
      </c>
      <c r="F240" s="8" t="s">
        <v>192</v>
      </c>
      <c r="G240" s="8" t="s">
        <v>192</v>
      </c>
      <c r="H240" s="6" t="s">
        <v>575</v>
      </c>
      <c r="I240" s="8" t="s">
        <v>192</v>
      </c>
    </row>
    <row r="241" spans="1:9" x14ac:dyDescent="0.25">
      <c r="A241" s="8" t="s">
        <v>135</v>
      </c>
      <c r="B241" s="8" t="s">
        <v>229</v>
      </c>
      <c r="C241" s="6" t="s">
        <v>576</v>
      </c>
      <c r="D241" s="8">
        <v>1</v>
      </c>
      <c r="E241" s="8" t="s">
        <v>215</v>
      </c>
      <c r="F241" s="8" t="s">
        <v>192</v>
      </c>
      <c r="G241" s="8" t="s">
        <v>192</v>
      </c>
      <c r="H241" s="6" t="s">
        <v>577</v>
      </c>
      <c r="I241" s="8" t="s">
        <v>192</v>
      </c>
    </row>
    <row r="242" spans="1:9" x14ac:dyDescent="0.25">
      <c r="A242" s="8" t="s">
        <v>135</v>
      </c>
      <c r="B242" s="8" t="s">
        <v>229</v>
      </c>
      <c r="C242" s="6" t="s">
        <v>576</v>
      </c>
      <c r="D242" s="8">
        <v>2</v>
      </c>
      <c r="E242" s="8" t="s">
        <v>217</v>
      </c>
      <c r="F242" s="8" t="s">
        <v>398</v>
      </c>
      <c r="G242" s="8" t="s">
        <v>578</v>
      </c>
      <c r="H242" s="8" t="s">
        <v>573</v>
      </c>
      <c r="I242" s="8" t="s">
        <v>192</v>
      </c>
    </row>
    <row r="243" spans="1:9" x14ac:dyDescent="0.25">
      <c r="A243" s="8" t="s">
        <v>135</v>
      </c>
      <c r="B243" s="8" t="s">
        <v>229</v>
      </c>
      <c r="C243" s="6" t="s">
        <v>576</v>
      </c>
      <c r="D243" s="8">
        <v>3</v>
      </c>
      <c r="E243" s="8" t="s">
        <v>245</v>
      </c>
      <c r="F243" s="8" t="s">
        <v>192</v>
      </c>
      <c r="G243" s="8" t="s">
        <v>192</v>
      </c>
      <c r="H243" s="8" t="s">
        <v>246</v>
      </c>
      <c r="I243" s="8" t="s">
        <v>192</v>
      </c>
    </row>
    <row r="244" spans="1:9" x14ac:dyDescent="0.25">
      <c r="A244" s="8" t="s">
        <v>138</v>
      </c>
      <c r="B244" s="8" t="s">
        <v>229</v>
      </c>
      <c r="C244" s="8" t="s">
        <v>230</v>
      </c>
      <c r="D244" s="8">
        <v>1</v>
      </c>
      <c r="E244" s="8" t="s">
        <v>477</v>
      </c>
      <c r="F244" s="8" t="s">
        <v>192</v>
      </c>
      <c r="G244" s="8" t="s">
        <v>192</v>
      </c>
      <c r="H244" s="6" t="s">
        <v>478</v>
      </c>
      <c r="I244" s="8" t="s">
        <v>192</v>
      </c>
    </row>
    <row r="245" spans="1:9" x14ac:dyDescent="0.25">
      <c r="A245" s="8" t="s">
        <v>138</v>
      </c>
      <c r="B245" s="8" t="s">
        <v>229</v>
      </c>
      <c r="C245" s="8" t="s">
        <v>230</v>
      </c>
      <c r="D245" s="8">
        <v>2</v>
      </c>
      <c r="E245" s="8" t="s">
        <v>264</v>
      </c>
      <c r="F245" s="6" t="s">
        <v>265</v>
      </c>
      <c r="G245" s="8" t="s">
        <v>579</v>
      </c>
      <c r="H245" s="8" t="s">
        <v>580</v>
      </c>
      <c r="I245" s="8" t="s">
        <v>393</v>
      </c>
    </row>
    <row r="246" spans="1:9" x14ac:dyDescent="0.25">
      <c r="A246" s="8" t="s">
        <v>138</v>
      </c>
      <c r="B246" s="8" t="s">
        <v>229</v>
      </c>
      <c r="C246" s="8" t="s">
        <v>230</v>
      </c>
      <c r="D246" s="8">
        <v>3</v>
      </c>
      <c r="E246" s="8" t="s">
        <v>67</v>
      </c>
      <c r="F246" s="6" t="s">
        <v>269</v>
      </c>
      <c r="G246" s="8" t="s">
        <v>192</v>
      </c>
      <c r="H246" s="8" t="s">
        <v>581</v>
      </c>
      <c r="I246" s="6" t="s">
        <v>395</v>
      </c>
    </row>
    <row r="247" spans="1:9" x14ac:dyDescent="0.25">
      <c r="A247" s="8" t="s">
        <v>138</v>
      </c>
      <c r="B247" s="8" t="s">
        <v>229</v>
      </c>
      <c r="C247" s="6" t="s">
        <v>582</v>
      </c>
      <c r="D247" s="8">
        <v>1</v>
      </c>
      <c r="E247" s="8" t="s">
        <v>215</v>
      </c>
      <c r="F247" s="8" t="s">
        <v>192</v>
      </c>
      <c r="G247" s="8" t="s">
        <v>192</v>
      </c>
      <c r="H247" s="6" t="s">
        <v>583</v>
      </c>
      <c r="I247" s="8" t="s">
        <v>192</v>
      </c>
    </row>
    <row r="248" spans="1:9" x14ac:dyDescent="0.25">
      <c r="A248" s="8" t="s">
        <v>138</v>
      </c>
      <c r="B248" s="8" t="s">
        <v>229</v>
      </c>
      <c r="C248" s="6" t="s">
        <v>582</v>
      </c>
      <c r="D248" s="8">
        <v>2</v>
      </c>
      <c r="E248" s="8" t="s">
        <v>217</v>
      </c>
      <c r="F248" s="8" t="s">
        <v>198</v>
      </c>
      <c r="G248" s="8" t="s">
        <v>584</v>
      </c>
      <c r="H248" s="8" t="s">
        <v>580</v>
      </c>
      <c r="I248" s="8" t="s">
        <v>192</v>
      </c>
    </row>
    <row r="249" spans="1:9" x14ac:dyDescent="0.25">
      <c r="A249" s="8" t="s">
        <v>138</v>
      </c>
      <c r="B249" s="8" t="s">
        <v>229</v>
      </c>
      <c r="C249" s="6" t="s">
        <v>582</v>
      </c>
      <c r="D249" s="8">
        <v>3</v>
      </c>
      <c r="E249" s="8" t="s">
        <v>245</v>
      </c>
      <c r="F249" s="8" t="s">
        <v>192</v>
      </c>
      <c r="G249" s="8" t="s">
        <v>192</v>
      </c>
      <c r="H249" s="8" t="s">
        <v>246</v>
      </c>
      <c r="I249" s="8" t="s">
        <v>192</v>
      </c>
    </row>
    <row r="250" spans="1:9" x14ac:dyDescent="0.25">
      <c r="A250" s="8" t="s">
        <v>131</v>
      </c>
      <c r="B250" s="8" t="s">
        <v>276</v>
      </c>
      <c r="C250" s="8" t="s">
        <v>277</v>
      </c>
      <c r="D250" s="8">
        <v>1</v>
      </c>
      <c r="E250" s="8" t="s">
        <v>473</v>
      </c>
      <c r="F250" s="8" t="s">
        <v>192</v>
      </c>
      <c r="G250" s="8" t="s">
        <v>192</v>
      </c>
      <c r="H250" s="6" t="s">
        <v>563</v>
      </c>
      <c r="I250" s="8" t="s">
        <v>192</v>
      </c>
    </row>
    <row r="251" spans="1:9" x14ac:dyDescent="0.25">
      <c r="A251" s="8" t="s">
        <v>131</v>
      </c>
      <c r="B251" s="8" t="s">
        <v>276</v>
      </c>
      <c r="C251" s="8" t="s">
        <v>277</v>
      </c>
      <c r="D251" s="8">
        <v>2</v>
      </c>
      <c r="E251" s="8" t="s">
        <v>264</v>
      </c>
      <c r="F251" s="6" t="s">
        <v>265</v>
      </c>
      <c r="G251" s="8" t="s">
        <v>564</v>
      </c>
      <c r="H251" s="8" t="s">
        <v>565</v>
      </c>
      <c r="I251" s="8" t="s">
        <v>393</v>
      </c>
    </row>
    <row r="252" spans="1:9" x14ac:dyDescent="0.25">
      <c r="A252" s="8" t="s">
        <v>131</v>
      </c>
      <c r="B252" s="8" t="s">
        <v>276</v>
      </c>
      <c r="C252" s="8" t="s">
        <v>277</v>
      </c>
      <c r="D252" s="8">
        <v>3</v>
      </c>
      <c r="E252" s="8" t="s">
        <v>67</v>
      </c>
      <c r="F252" s="6" t="s">
        <v>269</v>
      </c>
      <c r="G252" s="8" t="s">
        <v>192</v>
      </c>
      <c r="H252" s="8" t="s">
        <v>566</v>
      </c>
      <c r="I252" s="6" t="s">
        <v>395</v>
      </c>
    </row>
    <row r="253" spans="1:9" x14ac:dyDescent="0.25">
      <c r="A253" s="8" t="s">
        <v>131</v>
      </c>
      <c r="B253" s="8" t="s">
        <v>276</v>
      </c>
      <c r="C253" s="8" t="s">
        <v>277</v>
      </c>
      <c r="D253" s="8">
        <v>4</v>
      </c>
      <c r="E253" s="6" t="s">
        <v>278</v>
      </c>
      <c r="F253" s="8" t="s">
        <v>192</v>
      </c>
      <c r="G253" s="6" t="s">
        <v>279</v>
      </c>
      <c r="H253" s="8" t="s">
        <v>280</v>
      </c>
      <c r="I253" s="6" t="s">
        <v>281</v>
      </c>
    </row>
    <row r="254" spans="1:9" x14ac:dyDescent="0.25">
      <c r="A254" s="8" t="s">
        <v>131</v>
      </c>
      <c r="B254" s="8" t="s">
        <v>276</v>
      </c>
      <c r="C254" s="8" t="s">
        <v>277</v>
      </c>
      <c r="D254" s="8">
        <v>5</v>
      </c>
      <c r="E254" s="8" t="s">
        <v>282</v>
      </c>
      <c r="F254" s="8" t="s">
        <v>192</v>
      </c>
      <c r="G254" s="6" t="s">
        <v>585</v>
      </c>
      <c r="H254" s="8" t="s">
        <v>332</v>
      </c>
      <c r="I254" s="8" t="s">
        <v>285</v>
      </c>
    </row>
    <row r="255" spans="1:9" x14ac:dyDescent="0.25">
      <c r="A255" s="8" t="s">
        <v>131</v>
      </c>
      <c r="B255" s="8" t="s">
        <v>276</v>
      </c>
      <c r="C255" s="8" t="s">
        <v>277</v>
      </c>
      <c r="D255" s="8">
        <v>6</v>
      </c>
      <c r="E255" s="6" t="s">
        <v>286</v>
      </c>
      <c r="F255" s="8" t="s">
        <v>192</v>
      </c>
      <c r="G255" s="6" t="s">
        <v>287</v>
      </c>
      <c r="H255" s="8" t="s">
        <v>288</v>
      </c>
      <c r="I255" s="6" t="s">
        <v>289</v>
      </c>
    </row>
    <row r="256" spans="1:9" x14ac:dyDescent="0.25">
      <c r="A256" s="8" t="s">
        <v>131</v>
      </c>
      <c r="B256" s="8" t="s">
        <v>276</v>
      </c>
      <c r="C256" s="8" t="s">
        <v>277</v>
      </c>
      <c r="D256" s="8">
        <v>7</v>
      </c>
      <c r="E256" s="6" t="s">
        <v>290</v>
      </c>
      <c r="F256" s="8" t="s">
        <v>192</v>
      </c>
      <c r="G256" s="6" t="s">
        <v>495</v>
      </c>
      <c r="H256" s="8" t="s">
        <v>288</v>
      </c>
      <c r="I256" s="6" t="s">
        <v>292</v>
      </c>
    </row>
    <row r="257" spans="1:9" x14ac:dyDescent="0.25">
      <c r="A257" s="8" t="s">
        <v>131</v>
      </c>
      <c r="B257" s="8" t="s">
        <v>276</v>
      </c>
      <c r="C257" s="8" t="s">
        <v>277</v>
      </c>
      <c r="D257" s="8">
        <v>8</v>
      </c>
      <c r="E257" s="6" t="s">
        <v>293</v>
      </c>
      <c r="F257" s="8" t="s">
        <v>192</v>
      </c>
      <c r="G257" s="6" t="s">
        <v>496</v>
      </c>
      <c r="H257" s="8" t="s">
        <v>295</v>
      </c>
      <c r="I257" s="8" t="s">
        <v>192</v>
      </c>
    </row>
    <row r="258" spans="1:9" x14ac:dyDescent="0.25">
      <c r="A258" s="8" t="s">
        <v>131</v>
      </c>
      <c r="B258" s="8" t="s">
        <v>276</v>
      </c>
      <c r="C258" s="8" t="s">
        <v>277</v>
      </c>
      <c r="D258" s="8">
        <v>9</v>
      </c>
      <c r="E258" s="6" t="s">
        <v>296</v>
      </c>
      <c r="F258" s="8" t="s">
        <v>192</v>
      </c>
      <c r="G258" s="8" t="s">
        <v>192</v>
      </c>
      <c r="H258" s="6" t="s">
        <v>586</v>
      </c>
      <c r="I258" s="8" t="s">
        <v>192</v>
      </c>
    </row>
    <row r="259" spans="1:9" x14ac:dyDescent="0.25">
      <c r="A259" s="8" t="s">
        <v>131</v>
      </c>
      <c r="B259" s="8" t="s">
        <v>276</v>
      </c>
      <c r="C259" s="8" t="s">
        <v>277</v>
      </c>
      <c r="D259" s="8">
        <v>10</v>
      </c>
      <c r="E259" s="6" t="s">
        <v>298</v>
      </c>
      <c r="F259" s="8" t="s">
        <v>192</v>
      </c>
      <c r="G259" s="6" t="s">
        <v>587</v>
      </c>
      <c r="H259" s="8" t="s">
        <v>118</v>
      </c>
      <c r="I259" s="6" t="s">
        <v>300</v>
      </c>
    </row>
    <row r="260" spans="1:9" x14ac:dyDescent="0.25">
      <c r="A260" s="8" t="s">
        <v>131</v>
      </c>
      <c r="B260" s="8" t="s">
        <v>276</v>
      </c>
      <c r="C260" s="6" t="s">
        <v>588</v>
      </c>
      <c r="D260" s="8">
        <v>1</v>
      </c>
      <c r="E260" s="6" t="s">
        <v>302</v>
      </c>
      <c r="F260" s="8" t="s">
        <v>192</v>
      </c>
      <c r="G260" s="8" t="s">
        <v>500</v>
      </c>
      <c r="H260" s="6" t="s">
        <v>501</v>
      </c>
      <c r="I260" s="6" t="s">
        <v>305</v>
      </c>
    </row>
    <row r="261" spans="1:9" x14ac:dyDescent="0.25">
      <c r="A261" s="8" t="s">
        <v>131</v>
      </c>
      <c r="B261" s="8" t="s">
        <v>276</v>
      </c>
      <c r="C261" s="6" t="s">
        <v>588</v>
      </c>
      <c r="D261" s="8">
        <v>2</v>
      </c>
      <c r="E261" s="8" t="s">
        <v>306</v>
      </c>
      <c r="F261" s="8" t="s">
        <v>307</v>
      </c>
      <c r="G261" s="6" t="s">
        <v>589</v>
      </c>
      <c r="H261" s="8" t="s">
        <v>590</v>
      </c>
      <c r="I261" s="8" t="s">
        <v>192</v>
      </c>
    </row>
    <row r="262" spans="1:9" x14ac:dyDescent="0.25">
      <c r="A262" s="8" t="s">
        <v>131</v>
      </c>
      <c r="B262" s="8" t="s">
        <v>276</v>
      </c>
      <c r="C262" s="6" t="s">
        <v>591</v>
      </c>
      <c r="D262" s="8">
        <v>1</v>
      </c>
      <c r="E262" s="8" t="s">
        <v>215</v>
      </c>
      <c r="F262" s="8" t="s">
        <v>192</v>
      </c>
      <c r="G262" s="8" t="s">
        <v>192</v>
      </c>
      <c r="H262" s="6" t="s">
        <v>568</v>
      </c>
      <c r="I262" s="8" t="s">
        <v>192</v>
      </c>
    </row>
    <row r="263" spans="1:9" x14ac:dyDescent="0.25">
      <c r="A263" s="8" t="s">
        <v>131</v>
      </c>
      <c r="B263" s="8" t="s">
        <v>276</v>
      </c>
      <c r="C263" s="6" t="s">
        <v>591</v>
      </c>
      <c r="D263" s="8">
        <v>2</v>
      </c>
      <c r="E263" s="8" t="s">
        <v>217</v>
      </c>
      <c r="F263" s="8" t="s">
        <v>398</v>
      </c>
      <c r="G263" s="8" t="s">
        <v>569</v>
      </c>
      <c r="H263" s="8" t="s">
        <v>570</v>
      </c>
      <c r="I263" s="8" t="s">
        <v>192</v>
      </c>
    </row>
    <row r="264" spans="1:9" x14ac:dyDescent="0.25">
      <c r="A264" s="8" t="s">
        <v>131</v>
      </c>
      <c r="B264" s="8" t="s">
        <v>276</v>
      </c>
      <c r="C264" s="6" t="s">
        <v>591</v>
      </c>
      <c r="D264" s="8">
        <v>3</v>
      </c>
      <c r="E264" s="6" t="s">
        <v>311</v>
      </c>
      <c r="F264" s="6" t="s">
        <v>505</v>
      </c>
      <c r="G264" s="6" t="s">
        <v>592</v>
      </c>
      <c r="H264" s="8" t="s">
        <v>593</v>
      </c>
      <c r="I264" s="6" t="s">
        <v>315</v>
      </c>
    </row>
    <row r="265" spans="1:9" x14ac:dyDescent="0.25">
      <c r="A265" s="8" t="s">
        <v>133</v>
      </c>
      <c r="B265" s="8" t="s">
        <v>508</v>
      </c>
      <c r="C265" s="8" t="s">
        <v>594</v>
      </c>
      <c r="D265" s="8">
        <v>1</v>
      </c>
      <c r="E265" s="8" t="s">
        <v>510</v>
      </c>
      <c r="F265" s="8" t="s">
        <v>511</v>
      </c>
      <c r="G265" s="8" t="s">
        <v>595</v>
      </c>
      <c r="H265" s="8" t="s">
        <v>596</v>
      </c>
      <c r="I265" s="8" t="s">
        <v>192</v>
      </c>
    </row>
    <row r="266" spans="1:9" x14ac:dyDescent="0.25">
      <c r="A266" s="8" t="s">
        <v>133</v>
      </c>
      <c r="B266" s="8" t="s">
        <v>508</v>
      </c>
      <c r="C266" s="8" t="s">
        <v>594</v>
      </c>
      <c r="D266" s="8">
        <v>2</v>
      </c>
      <c r="E266" s="8" t="s">
        <v>514</v>
      </c>
      <c r="F266" s="8" t="s">
        <v>515</v>
      </c>
      <c r="G266" s="8" t="s">
        <v>597</v>
      </c>
      <c r="H266" s="8" t="s">
        <v>598</v>
      </c>
      <c r="I266" s="8" t="s">
        <v>192</v>
      </c>
    </row>
    <row r="267" spans="1:9" x14ac:dyDescent="0.25">
      <c r="A267" s="8" t="s">
        <v>133</v>
      </c>
      <c r="B267" s="8" t="s">
        <v>508</v>
      </c>
      <c r="C267" s="8" t="s">
        <v>594</v>
      </c>
      <c r="D267" s="8">
        <v>3</v>
      </c>
      <c r="E267" s="8" t="s">
        <v>430</v>
      </c>
      <c r="F267" s="6" t="s">
        <v>431</v>
      </c>
      <c r="G267" s="6" t="s">
        <v>599</v>
      </c>
      <c r="H267" s="8" t="s">
        <v>600</v>
      </c>
      <c r="I267" s="8" t="s">
        <v>192</v>
      </c>
    </row>
    <row r="268" spans="1:9" x14ac:dyDescent="0.25">
      <c r="A268" s="8" t="s">
        <v>133</v>
      </c>
      <c r="B268" s="8" t="s">
        <v>508</v>
      </c>
      <c r="C268" s="6" t="s">
        <v>601</v>
      </c>
      <c r="D268" s="8">
        <v>1</v>
      </c>
      <c r="E268" s="8" t="s">
        <v>435</v>
      </c>
      <c r="F268" s="8" t="s">
        <v>398</v>
      </c>
      <c r="G268" s="8" t="s">
        <v>569</v>
      </c>
      <c r="H268" s="8" t="s">
        <v>570</v>
      </c>
      <c r="I268" s="8" t="s">
        <v>192</v>
      </c>
    </row>
    <row r="269" spans="1:9" x14ac:dyDescent="0.25">
      <c r="A269" s="8" t="s">
        <v>133</v>
      </c>
      <c r="B269" s="8" t="s">
        <v>508</v>
      </c>
      <c r="C269" s="6" t="s">
        <v>601</v>
      </c>
      <c r="D269" s="8">
        <v>2</v>
      </c>
      <c r="E269" s="8" t="s">
        <v>436</v>
      </c>
      <c r="F269" s="8" t="s">
        <v>192</v>
      </c>
      <c r="G269" s="8" t="s">
        <v>192</v>
      </c>
      <c r="H269" s="6" t="s">
        <v>602</v>
      </c>
      <c r="I269" s="8" t="s">
        <v>192</v>
      </c>
    </row>
    <row r="270" spans="1:9" x14ac:dyDescent="0.25">
      <c r="A270" s="8" t="s">
        <v>133</v>
      </c>
      <c r="B270" s="8" t="s">
        <v>508</v>
      </c>
      <c r="C270" s="6" t="s">
        <v>601</v>
      </c>
      <c r="D270" s="8">
        <v>3</v>
      </c>
      <c r="E270" s="6" t="s">
        <v>438</v>
      </c>
      <c r="F270" s="8" t="s">
        <v>192</v>
      </c>
      <c r="G270" s="8" t="s">
        <v>192</v>
      </c>
      <c r="H270" s="8" t="s">
        <v>603</v>
      </c>
      <c r="I270" s="8" t="s">
        <v>192</v>
      </c>
    </row>
    <row r="271" spans="1:9" x14ac:dyDescent="0.25">
      <c r="A271" s="8" t="s">
        <v>134</v>
      </c>
      <c r="B271" s="8" t="s">
        <v>276</v>
      </c>
      <c r="C271" s="8" t="s">
        <v>277</v>
      </c>
      <c r="D271" s="8">
        <v>1</v>
      </c>
      <c r="E271" s="8" t="s">
        <v>475</v>
      </c>
      <c r="F271" s="8" t="s">
        <v>192</v>
      </c>
      <c r="G271" s="8" t="s">
        <v>192</v>
      </c>
      <c r="H271" s="6" t="s">
        <v>571</v>
      </c>
      <c r="I271" s="8" t="s">
        <v>192</v>
      </c>
    </row>
    <row r="272" spans="1:9" x14ac:dyDescent="0.25">
      <c r="A272" s="8" t="s">
        <v>134</v>
      </c>
      <c r="B272" s="8" t="s">
        <v>276</v>
      </c>
      <c r="C272" s="8" t="s">
        <v>277</v>
      </c>
      <c r="D272" s="8">
        <v>2</v>
      </c>
      <c r="E272" s="8" t="s">
        <v>264</v>
      </c>
      <c r="F272" s="6" t="s">
        <v>265</v>
      </c>
      <c r="G272" s="8" t="s">
        <v>572</v>
      </c>
      <c r="H272" s="8" t="s">
        <v>573</v>
      </c>
      <c r="I272" s="8" t="s">
        <v>393</v>
      </c>
    </row>
    <row r="273" spans="1:9" x14ac:dyDescent="0.25">
      <c r="A273" s="8" t="s">
        <v>134</v>
      </c>
      <c r="B273" s="8" t="s">
        <v>276</v>
      </c>
      <c r="C273" s="8" t="s">
        <v>277</v>
      </c>
      <c r="D273" s="8">
        <v>3</v>
      </c>
      <c r="E273" s="8" t="s">
        <v>67</v>
      </c>
      <c r="F273" s="6" t="s">
        <v>269</v>
      </c>
      <c r="G273" s="8" t="s">
        <v>192</v>
      </c>
      <c r="H273" s="8" t="s">
        <v>566</v>
      </c>
      <c r="I273" s="6" t="s">
        <v>395</v>
      </c>
    </row>
    <row r="274" spans="1:9" x14ac:dyDescent="0.25">
      <c r="A274" s="8" t="s">
        <v>134</v>
      </c>
      <c r="B274" s="8" t="s">
        <v>276</v>
      </c>
      <c r="C274" s="8" t="s">
        <v>277</v>
      </c>
      <c r="D274" s="8">
        <v>4</v>
      </c>
      <c r="E274" s="8" t="s">
        <v>574</v>
      </c>
      <c r="F274" s="8" t="s">
        <v>192</v>
      </c>
      <c r="G274" s="8" t="s">
        <v>192</v>
      </c>
      <c r="H274" s="6" t="s">
        <v>575</v>
      </c>
      <c r="I274" s="8" t="s">
        <v>192</v>
      </c>
    </row>
    <row r="275" spans="1:9" x14ac:dyDescent="0.25">
      <c r="A275" s="8" t="s">
        <v>134</v>
      </c>
      <c r="B275" s="8" t="s">
        <v>276</v>
      </c>
      <c r="C275" s="8" t="s">
        <v>277</v>
      </c>
      <c r="D275" s="8">
        <v>5</v>
      </c>
      <c r="E275" s="6" t="s">
        <v>278</v>
      </c>
      <c r="F275" s="8" t="s">
        <v>192</v>
      </c>
      <c r="G275" s="6" t="s">
        <v>279</v>
      </c>
      <c r="H275" s="8" t="s">
        <v>280</v>
      </c>
      <c r="I275" s="6" t="s">
        <v>281</v>
      </c>
    </row>
    <row r="276" spans="1:9" x14ac:dyDescent="0.25">
      <c r="A276" s="8" t="s">
        <v>134</v>
      </c>
      <c r="B276" s="8" t="s">
        <v>276</v>
      </c>
      <c r="C276" s="8" t="s">
        <v>277</v>
      </c>
      <c r="D276" s="8">
        <v>6</v>
      </c>
      <c r="E276" s="8" t="s">
        <v>282</v>
      </c>
      <c r="F276" s="8" t="s">
        <v>192</v>
      </c>
      <c r="G276" s="6" t="s">
        <v>585</v>
      </c>
      <c r="H276" s="8" t="s">
        <v>332</v>
      </c>
      <c r="I276" s="8" t="s">
        <v>285</v>
      </c>
    </row>
    <row r="277" spans="1:9" x14ac:dyDescent="0.25">
      <c r="A277" s="8" t="s">
        <v>134</v>
      </c>
      <c r="B277" s="8" t="s">
        <v>276</v>
      </c>
      <c r="C277" s="8" t="s">
        <v>277</v>
      </c>
      <c r="D277" s="8">
        <v>7</v>
      </c>
      <c r="E277" s="6" t="s">
        <v>286</v>
      </c>
      <c r="F277" s="8" t="s">
        <v>192</v>
      </c>
      <c r="G277" s="6" t="s">
        <v>287</v>
      </c>
      <c r="H277" s="8" t="s">
        <v>288</v>
      </c>
      <c r="I277" s="6" t="s">
        <v>289</v>
      </c>
    </row>
    <row r="278" spans="1:9" x14ac:dyDescent="0.25">
      <c r="A278" s="8" t="s">
        <v>134</v>
      </c>
      <c r="B278" s="8" t="s">
        <v>276</v>
      </c>
      <c r="C278" s="8" t="s">
        <v>277</v>
      </c>
      <c r="D278" s="8">
        <v>8</v>
      </c>
      <c r="E278" s="6" t="s">
        <v>290</v>
      </c>
      <c r="F278" s="8" t="s">
        <v>192</v>
      </c>
      <c r="G278" s="6" t="s">
        <v>495</v>
      </c>
      <c r="H278" s="8" t="s">
        <v>288</v>
      </c>
      <c r="I278" s="6" t="s">
        <v>292</v>
      </c>
    </row>
    <row r="279" spans="1:9" x14ac:dyDescent="0.25">
      <c r="A279" s="8" t="s">
        <v>134</v>
      </c>
      <c r="B279" s="8" t="s">
        <v>276</v>
      </c>
      <c r="C279" s="8" t="s">
        <v>277</v>
      </c>
      <c r="D279" s="8">
        <v>9</v>
      </c>
      <c r="E279" s="6" t="s">
        <v>293</v>
      </c>
      <c r="F279" s="8" t="s">
        <v>192</v>
      </c>
      <c r="G279" s="6" t="s">
        <v>496</v>
      </c>
      <c r="H279" s="8" t="s">
        <v>295</v>
      </c>
      <c r="I279" s="8" t="s">
        <v>192</v>
      </c>
    </row>
    <row r="280" spans="1:9" x14ac:dyDescent="0.25">
      <c r="A280" s="8" t="s">
        <v>134</v>
      </c>
      <c r="B280" s="8" t="s">
        <v>276</v>
      </c>
      <c r="C280" s="8" t="s">
        <v>277</v>
      </c>
      <c r="D280" s="8">
        <v>10</v>
      </c>
      <c r="E280" s="6" t="s">
        <v>296</v>
      </c>
      <c r="F280" s="8" t="s">
        <v>192</v>
      </c>
      <c r="G280" s="8" t="s">
        <v>192</v>
      </c>
      <c r="H280" s="6" t="s">
        <v>604</v>
      </c>
      <c r="I280" s="8" t="s">
        <v>192</v>
      </c>
    </row>
    <row r="281" spans="1:9" x14ac:dyDescent="0.25">
      <c r="A281" s="8" t="s">
        <v>134</v>
      </c>
      <c r="B281" s="8" t="s">
        <v>276</v>
      </c>
      <c r="C281" s="8" t="s">
        <v>277</v>
      </c>
      <c r="D281" s="8">
        <v>11</v>
      </c>
      <c r="E281" s="6" t="s">
        <v>298</v>
      </c>
      <c r="F281" s="8" t="s">
        <v>192</v>
      </c>
      <c r="G281" s="6" t="s">
        <v>587</v>
      </c>
      <c r="H281" s="8" t="s">
        <v>118</v>
      </c>
      <c r="I281" s="6" t="s">
        <v>300</v>
      </c>
    </row>
    <row r="282" spans="1:9" x14ac:dyDescent="0.25">
      <c r="A282" s="8" t="s">
        <v>134</v>
      </c>
      <c r="B282" s="8" t="s">
        <v>276</v>
      </c>
      <c r="C282" s="6" t="s">
        <v>605</v>
      </c>
      <c r="D282" s="8">
        <v>1</v>
      </c>
      <c r="E282" s="6" t="s">
        <v>302</v>
      </c>
      <c r="F282" s="8" t="s">
        <v>192</v>
      </c>
      <c r="G282" s="8" t="s">
        <v>500</v>
      </c>
      <c r="H282" s="6" t="s">
        <v>501</v>
      </c>
      <c r="I282" s="6" t="s">
        <v>305</v>
      </c>
    </row>
    <row r="283" spans="1:9" x14ac:dyDescent="0.25">
      <c r="A283" s="8" t="s">
        <v>134</v>
      </c>
      <c r="B283" s="8" t="s">
        <v>276</v>
      </c>
      <c r="C283" s="6" t="s">
        <v>605</v>
      </c>
      <c r="D283" s="8">
        <v>2</v>
      </c>
      <c r="E283" s="8" t="s">
        <v>306</v>
      </c>
      <c r="F283" s="8" t="s">
        <v>307</v>
      </c>
      <c r="G283" s="6" t="s">
        <v>606</v>
      </c>
      <c r="H283" s="8" t="s">
        <v>607</v>
      </c>
      <c r="I283" s="8" t="s">
        <v>192</v>
      </c>
    </row>
    <row r="284" spans="1:9" x14ac:dyDescent="0.25">
      <c r="A284" s="8" t="s">
        <v>134</v>
      </c>
      <c r="B284" s="8" t="s">
        <v>276</v>
      </c>
      <c r="C284" s="6" t="s">
        <v>608</v>
      </c>
      <c r="D284" s="8">
        <v>1</v>
      </c>
      <c r="E284" s="8" t="s">
        <v>215</v>
      </c>
      <c r="F284" s="8" t="s">
        <v>192</v>
      </c>
      <c r="G284" s="8" t="s">
        <v>192</v>
      </c>
      <c r="H284" s="6" t="s">
        <v>577</v>
      </c>
      <c r="I284" s="8" t="s">
        <v>192</v>
      </c>
    </row>
    <row r="285" spans="1:9" x14ac:dyDescent="0.25">
      <c r="A285" s="8" t="s">
        <v>134</v>
      </c>
      <c r="B285" s="8" t="s">
        <v>276</v>
      </c>
      <c r="C285" s="6" t="s">
        <v>608</v>
      </c>
      <c r="D285" s="8">
        <v>2</v>
      </c>
      <c r="E285" s="8" t="s">
        <v>217</v>
      </c>
      <c r="F285" s="8" t="s">
        <v>398</v>
      </c>
      <c r="G285" s="8" t="s">
        <v>578</v>
      </c>
      <c r="H285" s="8" t="s">
        <v>573</v>
      </c>
      <c r="I285" s="8" t="s">
        <v>192</v>
      </c>
    </row>
    <row r="286" spans="1:9" x14ac:dyDescent="0.25">
      <c r="A286" s="8" t="s">
        <v>134</v>
      </c>
      <c r="B286" s="8" t="s">
        <v>276</v>
      </c>
      <c r="C286" s="6" t="s">
        <v>608</v>
      </c>
      <c r="D286" s="8">
        <v>3</v>
      </c>
      <c r="E286" s="6" t="s">
        <v>311</v>
      </c>
      <c r="F286" s="6" t="s">
        <v>505</v>
      </c>
      <c r="G286" s="6" t="s">
        <v>609</v>
      </c>
      <c r="H286" s="8" t="s">
        <v>610</v>
      </c>
      <c r="I286" s="6" t="s">
        <v>315</v>
      </c>
    </row>
    <row r="287" spans="1:9" x14ac:dyDescent="0.25">
      <c r="A287" s="8" t="s">
        <v>136</v>
      </c>
      <c r="B287" s="8" t="s">
        <v>611</v>
      </c>
      <c r="C287" s="8" t="s">
        <v>612</v>
      </c>
      <c r="D287" s="8">
        <v>1</v>
      </c>
      <c r="E287" s="8" t="s">
        <v>613</v>
      </c>
      <c r="F287" s="8" t="s">
        <v>614</v>
      </c>
      <c r="G287" s="8" t="s">
        <v>615</v>
      </c>
      <c r="H287" s="8" t="s">
        <v>616</v>
      </c>
      <c r="I287" s="8" t="s">
        <v>617</v>
      </c>
    </row>
    <row r="288" spans="1:9" x14ac:dyDescent="0.25">
      <c r="A288" s="8" t="s">
        <v>136</v>
      </c>
      <c r="B288" s="8" t="s">
        <v>611</v>
      </c>
      <c r="C288" s="8" t="s">
        <v>612</v>
      </c>
      <c r="D288" s="8">
        <v>2</v>
      </c>
      <c r="E288" s="8" t="s">
        <v>430</v>
      </c>
      <c r="F288" s="6" t="s">
        <v>431</v>
      </c>
      <c r="G288" s="6" t="s">
        <v>618</v>
      </c>
      <c r="H288" s="8" t="s">
        <v>619</v>
      </c>
      <c r="I288" s="8" t="s">
        <v>192</v>
      </c>
    </row>
    <row r="289" spans="1:9" x14ac:dyDescent="0.25">
      <c r="A289" s="8" t="s">
        <v>136</v>
      </c>
      <c r="B289" s="8" t="s">
        <v>611</v>
      </c>
      <c r="C289" s="6" t="s">
        <v>620</v>
      </c>
      <c r="D289" s="8">
        <v>1</v>
      </c>
      <c r="E289" s="8" t="s">
        <v>435</v>
      </c>
      <c r="F289" s="8" t="s">
        <v>398</v>
      </c>
      <c r="G289" s="8" t="s">
        <v>578</v>
      </c>
      <c r="H289" s="8" t="s">
        <v>573</v>
      </c>
      <c r="I289" s="8" t="s">
        <v>192</v>
      </c>
    </row>
    <row r="290" spans="1:9" x14ac:dyDescent="0.25">
      <c r="A290" s="8" t="s">
        <v>136</v>
      </c>
      <c r="B290" s="8" t="s">
        <v>611</v>
      </c>
      <c r="C290" s="6" t="s">
        <v>620</v>
      </c>
      <c r="D290" s="8">
        <v>2</v>
      </c>
      <c r="E290" s="8" t="s">
        <v>436</v>
      </c>
      <c r="F290" s="8" t="s">
        <v>192</v>
      </c>
      <c r="G290" s="8" t="s">
        <v>192</v>
      </c>
      <c r="H290" s="6" t="s">
        <v>621</v>
      </c>
      <c r="I290" s="8" t="s">
        <v>192</v>
      </c>
    </row>
    <row r="291" spans="1:9" x14ac:dyDescent="0.25">
      <c r="A291" s="8" t="s">
        <v>136</v>
      </c>
      <c r="B291" s="8" t="s">
        <v>611</v>
      </c>
      <c r="C291" s="6" t="s">
        <v>620</v>
      </c>
      <c r="D291" s="8">
        <v>3</v>
      </c>
      <c r="E291" s="6" t="s">
        <v>438</v>
      </c>
      <c r="F291" s="8" t="s">
        <v>192</v>
      </c>
      <c r="G291" s="8" t="s">
        <v>192</v>
      </c>
      <c r="H291" s="8" t="s">
        <v>622</v>
      </c>
      <c r="I291" s="8" t="s">
        <v>192</v>
      </c>
    </row>
    <row r="292" spans="1:9" x14ac:dyDescent="0.25">
      <c r="A292" s="8" t="s">
        <v>137</v>
      </c>
      <c r="B292" s="8" t="s">
        <v>276</v>
      </c>
      <c r="C292" s="8" t="s">
        <v>277</v>
      </c>
      <c r="D292" s="8">
        <v>1</v>
      </c>
      <c r="E292" s="8" t="s">
        <v>477</v>
      </c>
      <c r="F292" s="8" t="s">
        <v>192</v>
      </c>
      <c r="G292" s="8" t="s">
        <v>192</v>
      </c>
      <c r="H292" s="6" t="s">
        <v>478</v>
      </c>
      <c r="I292" s="8" t="s">
        <v>192</v>
      </c>
    </row>
    <row r="293" spans="1:9" x14ac:dyDescent="0.25">
      <c r="A293" s="8" t="s">
        <v>137</v>
      </c>
      <c r="B293" s="8" t="s">
        <v>276</v>
      </c>
      <c r="C293" s="8" t="s">
        <v>277</v>
      </c>
      <c r="D293" s="8">
        <v>2</v>
      </c>
      <c r="E293" s="8" t="s">
        <v>264</v>
      </c>
      <c r="F293" s="6" t="s">
        <v>265</v>
      </c>
      <c r="G293" s="8" t="s">
        <v>579</v>
      </c>
      <c r="H293" s="8" t="s">
        <v>580</v>
      </c>
      <c r="I293" s="8" t="s">
        <v>393</v>
      </c>
    </row>
    <row r="294" spans="1:9" x14ac:dyDescent="0.25">
      <c r="A294" s="8" t="s">
        <v>137</v>
      </c>
      <c r="B294" s="8" t="s">
        <v>276</v>
      </c>
      <c r="C294" s="8" t="s">
        <v>277</v>
      </c>
      <c r="D294" s="8">
        <v>3</v>
      </c>
      <c r="E294" s="8" t="s">
        <v>67</v>
      </c>
      <c r="F294" s="6" t="s">
        <v>269</v>
      </c>
      <c r="G294" s="8" t="s">
        <v>192</v>
      </c>
      <c r="H294" s="8" t="s">
        <v>581</v>
      </c>
      <c r="I294" s="6" t="s">
        <v>395</v>
      </c>
    </row>
    <row r="295" spans="1:9" x14ac:dyDescent="0.25">
      <c r="A295" s="8" t="s">
        <v>137</v>
      </c>
      <c r="B295" s="8" t="s">
        <v>276</v>
      </c>
      <c r="C295" s="8" t="s">
        <v>277</v>
      </c>
      <c r="D295" s="8">
        <v>4</v>
      </c>
      <c r="E295" s="6" t="s">
        <v>278</v>
      </c>
      <c r="F295" s="8" t="s">
        <v>192</v>
      </c>
      <c r="G295" s="6" t="s">
        <v>279</v>
      </c>
      <c r="H295" s="8" t="s">
        <v>280</v>
      </c>
      <c r="I295" s="6" t="s">
        <v>281</v>
      </c>
    </row>
    <row r="296" spans="1:9" x14ac:dyDescent="0.25">
      <c r="A296" s="8" t="s">
        <v>137</v>
      </c>
      <c r="B296" s="8" t="s">
        <v>276</v>
      </c>
      <c r="C296" s="8" t="s">
        <v>277</v>
      </c>
      <c r="D296" s="8">
        <v>5</v>
      </c>
      <c r="E296" s="8" t="s">
        <v>282</v>
      </c>
      <c r="F296" s="8" t="s">
        <v>192</v>
      </c>
      <c r="G296" s="6" t="s">
        <v>623</v>
      </c>
      <c r="H296" s="8" t="s">
        <v>332</v>
      </c>
      <c r="I296" s="8" t="s">
        <v>285</v>
      </c>
    </row>
    <row r="297" spans="1:9" x14ac:dyDescent="0.25">
      <c r="A297" s="8" t="s">
        <v>137</v>
      </c>
      <c r="B297" s="8" t="s">
        <v>276</v>
      </c>
      <c r="C297" s="8" t="s">
        <v>277</v>
      </c>
      <c r="D297" s="8">
        <v>6</v>
      </c>
      <c r="E297" s="6" t="s">
        <v>286</v>
      </c>
      <c r="F297" s="8" t="s">
        <v>192</v>
      </c>
      <c r="G297" s="6" t="s">
        <v>287</v>
      </c>
      <c r="H297" s="8" t="s">
        <v>288</v>
      </c>
      <c r="I297" s="6" t="s">
        <v>289</v>
      </c>
    </row>
    <row r="298" spans="1:9" x14ac:dyDescent="0.25">
      <c r="A298" s="8" t="s">
        <v>137</v>
      </c>
      <c r="B298" s="8" t="s">
        <v>276</v>
      </c>
      <c r="C298" s="8" t="s">
        <v>277</v>
      </c>
      <c r="D298" s="8">
        <v>7</v>
      </c>
      <c r="E298" s="6" t="s">
        <v>290</v>
      </c>
      <c r="F298" s="8" t="s">
        <v>192</v>
      </c>
      <c r="G298" s="6" t="s">
        <v>291</v>
      </c>
      <c r="H298" s="8" t="s">
        <v>288</v>
      </c>
      <c r="I298" s="6" t="s">
        <v>292</v>
      </c>
    </row>
    <row r="299" spans="1:9" x14ac:dyDescent="0.25">
      <c r="A299" s="8" t="s">
        <v>137</v>
      </c>
      <c r="B299" s="8" t="s">
        <v>276</v>
      </c>
      <c r="C299" s="8" t="s">
        <v>277</v>
      </c>
      <c r="D299" s="8">
        <v>8</v>
      </c>
      <c r="E299" s="6" t="s">
        <v>293</v>
      </c>
      <c r="F299" s="8" t="s">
        <v>192</v>
      </c>
      <c r="G299" s="6" t="s">
        <v>524</v>
      </c>
      <c r="H299" s="8" t="s">
        <v>295</v>
      </c>
      <c r="I299" s="8" t="s">
        <v>192</v>
      </c>
    </row>
    <row r="300" spans="1:9" x14ac:dyDescent="0.25">
      <c r="A300" s="8" t="s">
        <v>137</v>
      </c>
      <c r="B300" s="8" t="s">
        <v>276</v>
      </c>
      <c r="C300" s="8" t="s">
        <v>277</v>
      </c>
      <c r="D300" s="8">
        <v>9</v>
      </c>
      <c r="E300" s="6" t="s">
        <v>296</v>
      </c>
      <c r="F300" s="8" t="s">
        <v>192</v>
      </c>
      <c r="G300" s="8" t="s">
        <v>192</v>
      </c>
      <c r="H300" s="6" t="s">
        <v>624</v>
      </c>
      <c r="I300" s="8" t="s">
        <v>192</v>
      </c>
    </row>
    <row r="301" spans="1:9" x14ac:dyDescent="0.25">
      <c r="A301" s="8" t="s">
        <v>137</v>
      </c>
      <c r="B301" s="8" t="s">
        <v>276</v>
      </c>
      <c r="C301" s="8" t="s">
        <v>277</v>
      </c>
      <c r="D301" s="8">
        <v>10</v>
      </c>
      <c r="E301" s="6" t="s">
        <v>298</v>
      </c>
      <c r="F301" s="8" t="s">
        <v>192</v>
      </c>
      <c r="G301" s="8" t="s">
        <v>625</v>
      </c>
      <c r="H301" s="8" t="s">
        <v>113</v>
      </c>
      <c r="I301" s="6" t="s">
        <v>300</v>
      </c>
    </row>
    <row r="302" spans="1:9" x14ac:dyDescent="0.25">
      <c r="A302" s="8" t="s">
        <v>137</v>
      </c>
      <c r="B302" s="8" t="s">
        <v>276</v>
      </c>
      <c r="C302" s="6" t="s">
        <v>626</v>
      </c>
      <c r="D302" s="8">
        <v>1</v>
      </c>
      <c r="E302" s="6" t="s">
        <v>302</v>
      </c>
      <c r="F302" s="8" t="s">
        <v>192</v>
      </c>
      <c r="G302" s="8" t="s">
        <v>528</v>
      </c>
      <c r="H302" s="6" t="s">
        <v>529</v>
      </c>
      <c r="I302" s="6" t="s">
        <v>305</v>
      </c>
    </row>
    <row r="303" spans="1:9" x14ac:dyDescent="0.25">
      <c r="A303" s="8" t="s">
        <v>137</v>
      </c>
      <c r="B303" s="8" t="s">
        <v>276</v>
      </c>
      <c r="C303" s="6" t="s">
        <v>626</v>
      </c>
      <c r="D303" s="8">
        <v>2</v>
      </c>
      <c r="E303" s="8" t="s">
        <v>306</v>
      </c>
      <c r="F303" s="8" t="s">
        <v>307</v>
      </c>
      <c r="G303" s="6" t="s">
        <v>627</v>
      </c>
      <c r="H303" s="8" t="s">
        <v>628</v>
      </c>
      <c r="I303" s="8" t="s">
        <v>192</v>
      </c>
    </row>
    <row r="304" spans="1:9" x14ac:dyDescent="0.25">
      <c r="A304" s="8" t="s">
        <v>137</v>
      </c>
      <c r="B304" s="8" t="s">
        <v>276</v>
      </c>
      <c r="C304" s="6" t="s">
        <v>629</v>
      </c>
      <c r="D304" s="8">
        <v>1</v>
      </c>
      <c r="E304" s="8" t="s">
        <v>215</v>
      </c>
      <c r="F304" s="8" t="s">
        <v>192</v>
      </c>
      <c r="G304" s="8" t="s">
        <v>192</v>
      </c>
      <c r="H304" s="6" t="s">
        <v>583</v>
      </c>
      <c r="I304" s="8" t="s">
        <v>192</v>
      </c>
    </row>
    <row r="305" spans="1:9" x14ac:dyDescent="0.25">
      <c r="A305" s="8" t="s">
        <v>137</v>
      </c>
      <c r="B305" s="8" t="s">
        <v>276</v>
      </c>
      <c r="C305" s="6" t="s">
        <v>629</v>
      </c>
      <c r="D305" s="8">
        <v>2</v>
      </c>
      <c r="E305" s="8" t="s">
        <v>217</v>
      </c>
      <c r="F305" s="8" t="s">
        <v>198</v>
      </c>
      <c r="G305" s="8" t="s">
        <v>584</v>
      </c>
      <c r="H305" s="8" t="s">
        <v>580</v>
      </c>
      <c r="I305" s="8" t="s">
        <v>192</v>
      </c>
    </row>
    <row r="306" spans="1:9" x14ac:dyDescent="0.25">
      <c r="A306" s="8" t="s">
        <v>137</v>
      </c>
      <c r="B306" s="8" t="s">
        <v>276</v>
      </c>
      <c r="C306" s="6" t="s">
        <v>629</v>
      </c>
      <c r="D306" s="8">
        <v>3</v>
      </c>
      <c r="E306" s="6" t="s">
        <v>311</v>
      </c>
      <c r="F306" s="6" t="s">
        <v>312</v>
      </c>
      <c r="G306" s="6" t="s">
        <v>630</v>
      </c>
      <c r="H306" s="8" t="s">
        <v>631</v>
      </c>
      <c r="I306" s="6" t="s">
        <v>315</v>
      </c>
    </row>
    <row r="307" spans="1:9" x14ac:dyDescent="0.25">
      <c r="A307" s="8" t="s">
        <v>139</v>
      </c>
      <c r="B307" s="8" t="s">
        <v>632</v>
      </c>
      <c r="C307" s="8" t="s">
        <v>633</v>
      </c>
      <c r="D307" s="8">
        <v>1</v>
      </c>
      <c r="E307" s="8" t="s">
        <v>514</v>
      </c>
      <c r="F307" s="8" t="s">
        <v>515</v>
      </c>
      <c r="G307" s="8" t="s">
        <v>634</v>
      </c>
      <c r="H307" s="8" t="s">
        <v>635</v>
      </c>
      <c r="I307" s="8" t="s">
        <v>192</v>
      </c>
    </row>
    <row r="308" spans="1:9" x14ac:dyDescent="0.25">
      <c r="A308" s="8" t="s">
        <v>139</v>
      </c>
      <c r="B308" s="8" t="s">
        <v>632</v>
      </c>
      <c r="C308" s="8" t="s">
        <v>633</v>
      </c>
      <c r="D308" s="8">
        <v>2</v>
      </c>
      <c r="E308" s="8" t="s">
        <v>430</v>
      </c>
      <c r="F308" s="6" t="s">
        <v>431</v>
      </c>
      <c r="G308" s="6" t="s">
        <v>636</v>
      </c>
      <c r="H308" s="6" t="s">
        <v>637</v>
      </c>
      <c r="I308" s="8" t="s">
        <v>192</v>
      </c>
    </row>
    <row r="309" spans="1:9" x14ac:dyDescent="0.25">
      <c r="A309" s="8" t="s">
        <v>139</v>
      </c>
      <c r="B309" s="8" t="s">
        <v>632</v>
      </c>
      <c r="C309" s="6" t="s">
        <v>638</v>
      </c>
      <c r="D309" s="8">
        <v>1</v>
      </c>
      <c r="E309" s="8" t="s">
        <v>435</v>
      </c>
      <c r="F309" s="8" t="s">
        <v>198</v>
      </c>
      <c r="G309" s="8" t="s">
        <v>584</v>
      </c>
      <c r="H309" s="8" t="s">
        <v>580</v>
      </c>
      <c r="I309" s="8" t="s">
        <v>192</v>
      </c>
    </row>
    <row r="310" spans="1:9" x14ac:dyDescent="0.25">
      <c r="A310" s="8" t="s">
        <v>139</v>
      </c>
      <c r="B310" s="8" t="s">
        <v>632</v>
      </c>
      <c r="C310" s="6" t="s">
        <v>638</v>
      </c>
      <c r="D310" s="8">
        <v>2</v>
      </c>
      <c r="E310" s="8" t="s">
        <v>436</v>
      </c>
      <c r="F310" s="8" t="s">
        <v>192</v>
      </c>
      <c r="G310" s="8" t="s">
        <v>192</v>
      </c>
      <c r="H310" s="6" t="s">
        <v>639</v>
      </c>
      <c r="I310" s="8" t="s">
        <v>192</v>
      </c>
    </row>
    <row r="311" spans="1:9" x14ac:dyDescent="0.25">
      <c r="A311" s="8" t="s">
        <v>139</v>
      </c>
      <c r="B311" s="8" t="s">
        <v>632</v>
      </c>
      <c r="C311" s="6" t="s">
        <v>638</v>
      </c>
      <c r="D311" s="8">
        <v>3</v>
      </c>
      <c r="E311" s="6" t="s">
        <v>438</v>
      </c>
      <c r="F311" s="8" t="s">
        <v>192</v>
      </c>
      <c r="G311" s="8" t="s">
        <v>192</v>
      </c>
      <c r="H311" s="8" t="s">
        <v>640</v>
      </c>
      <c r="I311" s="8" t="s">
        <v>192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14" customWidth="1"/>
    <col min="2" max="2" width="110" customWidth="1"/>
  </cols>
  <sheetData>
    <row r="1" spans="1:2" x14ac:dyDescent="0.25">
      <c r="A1" s="5" t="s">
        <v>70</v>
      </c>
      <c r="B1" s="5" t="s">
        <v>9</v>
      </c>
    </row>
    <row r="2" spans="1:2" x14ac:dyDescent="0.25">
      <c r="A2" s="8" t="s">
        <v>574</v>
      </c>
      <c r="B2" s="6" t="s">
        <v>641</v>
      </c>
    </row>
    <row r="3" spans="1:2" x14ac:dyDescent="0.25">
      <c r="A3" s="8" t="s">
        <v>642</v>
      </c>
      <c r="B3" s="6" t="s">
        <v>643</v>
      </c>
    </row>
    <row r="4" spans="1:2" x14ac:dyDescent="0.25">
      <c r="A4" s="8" t="s">
        <v>574</v>
      </c>
      <c r="B4" s="6" t="s">
        <v>644</v>
      </c>
    </row>
    <row r="5" spans="1:2" x14ac:dyDescent="0.25">
      <c r="A5" s="8" t="s">
        <v>642</v>
      </c>
      <c r="B5" s="6" t="s">
        <v>645</v>
      </c>
    </row>
    <row r="6" spans="1:2" x14ac:dyDescent="0.25">
      <c r="A6" s="8" t="s">
        <v>642</v>
      </c>
      <c r="B6" s="6" t="s">
        <v>646</v>
      </c>
    </row>
    <row r="7" spans="1:2" x14ac:dyDescent="0.25">
      <c r="A7" s="8" t="s">
        <v>642</v>
      </c>
      <c r="B7" s="6" t="s">
        <v>647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Proyecto</vt:lpstr>
      <vt:lpstr>Circuitos</vt:lpstr>
      <vt:lpstr>Cuadro TG</vt:lpstr>
      <vt:lpstr>Cuadro CCM-1</vt:lpstr>
      <vt:lpstr>Cuadro TAB-B</vt:lpstr>
      <vt:lpstr>Cuadro TAB-A</vt:lpstr>
      <vt:lpstr>Memoria</vt:lpstr>
      <vt:lpstr>Observaciones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Ing. RGLR</dc:creator>
  <dc:title>Memoria de cálculo — Sistema de ejemplo fase 1</dc:title>
  <dc:subject/>
  <dc:description/>
  <cp:keywords/>
  <cp:category/>
  <cp:lastModifiedBy>Unknown</cp:lastModifiedBy>
  <dcterms:created xsi:type="dcterms:W3CDTF">2026-10-24T18:00:00Z</dcterms:created>
  <dcterms:modified xsi:type="dcterms:W3CDTF">2026-10-25T04:29:59Z</dcterms:modified>
</cp:coreProperties>
</file>